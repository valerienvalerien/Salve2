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b8eef763c248fc" /></Relationships>
</file>

<file path=xl/workbook.xml><?xml version="1.0" encoding="utf-8"?>
<x:workbook xmlns:x="http://schemas.openxmlformats.org/spreadsheetml/2006/main">
  <x:sheets>
    <x:sheet xmlns:r="http://schemas.openxmlformats.org/officeDocument/2006/relationships" name="Synthèse" sheetId="1" r:id="R25ba1e294ee94100"/>
    <x:sheet xmlns:r="http://schemas.openxmlformats.org/officeDocument/2006/relationships" name="Hypothèses" sheetId="2" r:id="R72967886542647fe"/>
    <x:sheet xmlns:r="http://schemas.openxmlformats.org/officeDocument/2006/relationships" name="Projection 24 mois" sheetId="3" r:id="R0caf9c7d4dcd49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
    <x:numFmt numFmtId="201" formatCode="#,##0 &quot;Ar&quot;;[Red](#,##0 &quot;Ar&quot;);-"/>
    <x:numFmt numFmtId="202" formatCode="0.0%"/>
    <x:numFmt numFmtId="203" formatCode="#,##0;[Red](#,##0);-"/>
  </x:numFmts>
  <x:fonts count="16">
    <x:font>
      <x:sz val="11"/>
      <x:name val="Carlito"/>
    </x:font>
    <x:font>
      <x:b/>
      <x:sz val="16"/>
      <x:color rgb="FFFFFFFF"/>
      <x:name val="Arial"/>
    </x:font>
    <x:font>
      <x:i/>
      <x:sz val="10"/>
      <x:color rgb="FF52606D"/>
      <x:name val="Arial"/>
    </x:font>
    <x:font>
      <x:b/>
      <x:sz val="10"/>
      <x:color rgb="FFFFFFFF"/>
      <x:name val="Arial"/>
    </x:font>
    <x:font>
      <x:b/>
      <x:sz val="10"/>
      <x:color rgb="FF008000"/>
      <x:name val="Arial"/>
    </x:font>
    <x:font>
      <x:sz val="10"/>
      <x:color rgb="FF1F2933"/>
      <x:name val="Arial"/>
    </x:font>
    <x:font>
      <x:sz val="10"/>
      <x:color rgb="FF0070C0"/>
      <x:name val="Arial"/>
    </x:font>
    <x:font>
      <x:sz val="10"/>
      <x:color rgb="FF52606D"/>
      <x:name val="Arial"/>
    </x:font>
    <x:font>
      <x:i/>
      <x:sz val="9"/>
      <x:color rgb="FF52606D"/>
      <x:name val="Arial"/>
    </x:font>
    <x:font>
      <x:b/>
      <x:sz val="10"/>
      <x:color rgb="FF1F2933"/>
      <x:name val="Arial"/>
    </x:font>
    <x:font>
      <x:i/>
      <x:sz val="10"/>
      <x:color rgb="FF1F2933"/>
      <x:name val="Arial"/>
    </x:font>
    <x:font>
      <x:i/>
      <x:sz val="10"/>
      <x:color rgb="FF008000"/>
      <x:name val="Arial"/>
    </x:font>
    <x:font>
      <x:b/>
      <x:sz val="9"/>
      <x:color rgb="FFFFFFFF"/>
      <x:name val="Arial"/>
    </x:font>
    <x:font>
      <x:sz val="9"/>
      <x:color rgb="FF1F2933"/>
      <x:name val="Arial"/>
    </x:font>
    <x:font>
      <x:b/>
      <x:sz val="11"/>
      <x:color rgb="FF17324D"/>
      <x:name val="Arial"/>
    </x:font>
    <x:font>
      <x:b/>
      <x:sz val="9"/>
      <x:color rgb="FF1F2933"/>
      <x:name val="Arial"/>
    </x:font>
  </x:fonts>
  <x:fills count="7">
    <x:fill>
      <x:patternFill patternType="none"/>
    </x:fill>
    <x:fill>
      <x:patternFill patternType="gray125"/>
    </x:fill>
    <x:fill>
      <x:patternFill patternType="solid">
        <x:fgColor rgb="FF17324D"/>
      </x:patternFill>
    </x:fill>
    <x:fill>
      <x:patternFill patternType="solid">
        <x:fgColor rgb="FF167D7F"/>
      </x:patternFill>
    </x:fill>
    <x:fill>
      <x:patternFill patternType="solid">
        <x:fgColor rgb="FFE7F4F2"/>
      </x:patternFill>
    </x:fill>
    <x:fill>
      <x:patternFill patternType="solid">
        <x:fgColor rgb="FFEAF1F8"/>
      </x:patternFill>
    </x:fill>
    <x:fill>
      <x:patternFill patternType="solid">
        <x:fgColor rgb="FFF2F4F7"/>
      </x:patternFill>
    </x:fill>
  </x:fills>
  <x:borders count="19">
    <x:border/>
    <x:border>
      <x:left style="thin">
        <x:color rgb="FFD6DEE6"/>
      </x:left>
      <x:right style="thin">
        <x:color rgb="FFD6DEE6"/>
      </x:right>
      <x:top style="thin">
        <x:color rgb="FFD6DEE6"/>
      </x:top>
      <x:bottom style="thin">
        <x:color rgb="FFD6DEE6"/>
      </x:bottom>
    </x:border>
    <x:border>
      <x:right style="thin">
        <x:color rgb="FFD6DEE6"/>
      </x:right>
      <x:bottom style="thin">
        <x:color rgb="FFD6DEE6"/>
      </x:bottom>
    </x:border>
    <x:border>
      <x:left style="thin">
        <x:color rgb="FFD6DEE6"/>
      </x:left>
      <x:right style="thin">
        <x:color rgb="FFD6DEE6"/>
      </x:right>
      <x:bottom style="thin">
        <x:color rgb="FFD6DEE6"/>
      </x:bottom>
    </x:border>
    <x:border>
      <x:left style="thin">
        <x:color rgb="FFD6DEE6"/>
      </x:left>
      <x:bottom style="thin">
        <x:color rgb="FFD6DEE6"/>
      </x:bottom>
    </x:border>
    <x:border>
      <x:right style="thin">
        <x:color rgb="FFD6DEE6"/>
      </x:right>
      <x:top style="thin">
        <x:color rgb="FFD6DEE6"/>
      </x:top>
      <x:bottom style="thin">
        <x:color rgb="FFD6DEE6"/>
      </x:bottom>
    </x:border>
    <x:border>
      <x:left style="thin">
        <x:color rgb="FFD6DEE6"/>
      </x:left>
      <x:top style="thin">
        <x:color rgb="FFD6DEE6"/>
      </x:top>
      <x:bottom style="thin">
        <x:color rgb="FFD6DEE6"/>
      </x:bottom>
    </x:border>
    <x:border>
      <x:right style="thin">
        <x:color rgb="FFD6DEE6"/>
      </x:right>
      <x:top style="thin">
        <x:color rgb="FFD6DEE6"/>
      </x:top>
    </x:border>
    <x:border>
      <x:left style="thin">
        <x:color rgb="FFD6DEE6"/>
      </x:left>
      <x:right style="thin">
        <x:color rgb="FFD6DEE6"/>
      </x:right>
      <x:top style="thin">
        <x:color rgb="FFD6DEE6"/>
      </x:top>
    </x:border>
    <x:border>
      <x:left style="thin">
        <x:color rgb="FFD6DEE6"/>
      </x:left>
      <x:top style="thin">
        <x:color rgb="FFD6DEE6"/>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1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5"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7" fillId="0" borderId="0" xfId="0" applyNumberFormat="1" applyFont="1" applyFill="1" applyBorder="1"/>
    <x:xf numFmtId="200" fontId="6" fillId="5" borderId="0" xfId="0" applyNumberFormat="1" applyFont="1" applyFill="1" applyBorder="1"/>
    <x:xf numFmtId="201" fontId="6" fillId="5" borderId="0" xfId="0" applyNumberFormat="1" applyFont="1" applyFill="1" applyBorder="1"/>
    <x:xf numFmtId="202" fontId="6" fillId="5" borderId="0" xfId="0" applyNumberFormat="1" applyFont="1" applyFill="1" applyBorder="1"/>
    <x:xf numFmtId="203" fontId="6" fillId="5" borderId="0" xfId="0" applyNumberFormat="1" applyFont="1" applyFill="1" applyBorder="1"/>
    <x:xf numFmtId="200" fontId="0" fillId="0" borderId="0" xfId="0" applyNumberFormat="1" applyFont="1" applyFill="1" applyBorder="1"/>
    <x:xf numFmtId="200" fontId="5" fillId="0" borderId="0" xfId="0" applyNumberFormat="1" applyFont="1" applyFill="1" applyBorder="1"/>
    <x:xf numFmtId="200" fontId="0" fillId="5" borderId="0" xfId="0" applyNumberFormat="1" applyFont="1" applyFill="1" applyBorder="1"/>
    <x:xf numFmtId="0" fontId="0" fillId="0" borderId="1" xfId="0" applyNumberFormat="1" applyFont="1" applyFill="1" applyBorder="1"/>
    <x:xf numFmtId="200" fontId="6" fillId="5" borderId="1" xfId="0" applyNumberFormat="1" applyFont="1" applyFill="1" applyBorder="1"/>
    <x:xf numFmtId="0" fontId="0"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6" fillId="0" borderId="0" xfId="0" applyNumberFormat="1" applyFont="1" applyFill="1" applyBorder="1"/>
    <x:xf numFmtId="0" fontId="8" fillId="0" borderId="0" xfId="0" applyNumberFormat="1" applyFont="1" applyFill="1" applyBorder="1"/>
    <x:xf numFmtId="201" fontId="0" fillId="0" borderId="0" xfId="0" applyNumberFormat="1" applyFont="1" applyFill="1" applyBorder="1"/>
    <x:xf numFmtId="0" fontId="9" fillId="2" borderId="0" xfId="0" applyNumberFormat="1" applyFont="1" applyFill="1" applyBorder="1" applyAlignment="1">
      <x:alignment vertical="center"/>
    </x:xf>
    <x:xf numFmtId="0" fontId="10" fillId="0" borderId="0" xfId="0" applyNumberFormat="1" applyFont="1" applyFill="1" applyBorder="1"/>
    <x:xf numFmtId="0" fontId="9" fillId="3" borderId="0" xfId="0" applyNumberFormat="1" applyFont="1" applyFill="1" applyBorder="1"/>
    <x:xf numFmtId="0" fontId="9" fillId="4"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202" fontId="5" fillId="5" borderId="0" xfId="0" applyNumberFormat="1" applyFont="1" applyFill="1" applyBorder="1"/>
    <x:xf numFmtId="203" fontId="5" fillId="5" borderId="0" xfId="0" applyNumberFormat="1" applyFont="1" applyFill="1" applyBorder="1"/>
    <x:xf numFmtId="0" fontId="5" fillId="0" borderId="1" xfId="0" applyNumberFormat="1" applyFont="1" applyFill="1" applyBorder="1"/>
    <x:xf numFmtId="200" fontId="5" fillId="5" borderId="1" xfId="0" applyNumberFormat="1" applyFont="1" applyFill="1" applyBorder="1"/>
    <x:xf numFmtId="0" fontId="10" fillId="0" borderId="0" xfId="0" applyNumberFormat="1" applyFont="1" applyFill="1" applyBorder="1" applyAlignment="1">
      <x:alignment wrapText="1"/>
    </x:xf>
    <x:xf numFmtId="0" fontId="5" fillId="5" borderId="0" xfId="0" applyNumberFormat="1" applyFont="1" applyFill="1" applyBorder="1"/>
    <x:xf numFmtId="201" fontId="5" fillId="0" borderId="0" xfId="0" applyNumberFormat="1" applyFont="1" applyFill="1" applyBorder="1"/>
    <x:xf numFmtId="0" fontId="10"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0" fontId="9" fillId="4" borderId="0" xfId="0" applyNumberFormat="1" applyFont="1" applyFill="1" applyBorder="1" applyAlignment="1">
      <x:alignment vertical="center"/>
    </x:xf>
    <x:xf numFmtId="200" fontId="5" fillId="5" borderId="0" xfId="0" applyNumberFormat="1" applyFont="1" applyFill="1" applyBorder="1" applyAlignment="1">
      <x:alignment vertical="center"/>
    </x:xf>
    <x:xf numFmtId="201" fontId="5" fillId="5" borderId="0" xfId="0" applyNumberFormat="1" applyFont="1" applyFill="1" applyBorder="1" applyAlignment="1">
      <x:alignment vertical="center"/>
    </x:xf>
    <x:xf numFmtId="202" fontId="5" fillId="5" borderId="0" xfId="0" applyNumberFormat="1" applyFont="1" applyFill="1" applyBorder="1" applyAlignment="1">
      <x:alignment vertical="center"/>
    </x:xf>
    <x:xf numFmtId="203" fontId="5" fillId="5" borderId="0" xfId="0" applyNumberFormat="1" applyFont="1" applyFill="1" applyBorder="1" applyAlignment="1">
      <x:alignment vertical="center"/>
    </x:xf>
    <x:xf numFmtId="200" fontId="5"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200" fontId="5" fillId="5" borderId="1"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5" fillId="5" borderId="0" xfId="0" applyNumberFormat="1" applyFont="1" applyFill="1" applyBorder="1" applyAlignment="1">
      <x:alignment vertical="center"/>
    </x:xf>
    <x:xf numFmtId="201" fontId="5" fillId="0" borderId="0" xfId="0" applyNumberFormat="1" applyFont="1" applyFill="1" applyBorder="1" applyAlignment="1">
      <x:alignment vertical="center"/>
    </x:xf>
    <x:xf numFmtId="0" fontId="5" fillId="2" borderId="1" xfId="0" applyNumberFormat="1" applyFont="1" applyFill="1" applyBorder="1" applyAlignment="1">
      <x:alignment vertical="center"/>
    </x:xf>
    <x:xf numFmtId="0" fontId="3" fillId="2" borderId="1" xfId="0" applyNumberFormat="1" applyFont="1" applyFill="1" applyBorder="1" applyAlignment="1">
      <x:alignment vertical="center"/>
    </x:xf>
    <x:xf numFmtId="0" fontId="5"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5" fillId="0" borderId="2" xfId="0" applyNumberFormat="1" applyFont="1" applyFill="1" applyBorder="1" applyAlignment="1">
      <x:alignment vertical="center"/>
    </x:xf>
    <x:xf numFmtId="200" fontId="5" fillId="5" borderId="3" xfId="0" applyNumberFormat="1" applyFont="1" applyFill="1" applyBorder="1" applyAlignment="1">
      <x:alignment vertical="center"/>
    </x:xf>
    <x:xf numFmtId="0" fontId="10"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0" fontId="5" fillId="0" borderId="5" xfId="0" applyNumberFormat="1" applyFont="1" applyFill="1" applyBorder="1" applyAlignment="1">
      <x:alignment vertical="center"/>
    </x:xf>
    <x:xf numFmtId="201" fontId="5" fillId="5" borderId="1" xfId="0" applyNumberFormat="1" applyFont="1" applyFill="1" applyBorder="1" applyAlignment="1">
      <x:alignment vertical="center"/>
    </x:xf>
    <x:xf numFmtId="0" fontId="10" fillId="0" borderId="1" xfId="0" applyNumberFormat="1" applyFont="1" applyFill="1" applyBorder="1" applyAlignment="1">
      <x:alignment vertical="center"/>
    </x:xf>
    <x:xf numFmtId="0" fontId="5" fillId="0" borderId="6" xfId="0" applyNumberFormat="1" applyFont="1" applyFill="1" applyBorder="1" applyAlignment="1">
      <x:alignment vertical="center"/>
    </x:xf>
    <x:xf numFmtId="202" fontId="5" fillId="5" borderId="1" xfId="0" applyNumberFormat="1" applyFont="1" applyFill="1" applyBorder="1" applyAlignment="1">
      <x:alignment vertical="center"/>
    </x:xf>
    <x:xf numFmtId="203" fontId="5" fillId="5" borderId="1" xfId="0" applyNumberFormat="1" applyFont="1" applyFill="1" applyBorder="1" applyAlignment="1">
      <x:alignment vertical="center"/>
    </x:xf>
    <x:xf numFmtId="0" fontId="5" fillId="0" borderId="7" xfId="0" applyNumberFormat="1" applyFont="1" applyFill="1" applyBorder="1" applyAlignment="1">
      <x:alignment vertical="center"/>
    </x:xf>
    <x:xf numFmtId="203" fontId="5" fillId="5" borderId="8" xfId="0" applyNumberFormat="1" applyFont="1" applyFill="1" applyBorder="1" applyAlignment="1">
      <x:alignment vertical="center"/>
    </x:xf>
    <x:xf numFmtId="0" fontId="10" fillId="0" borderId="8" xfId="0" applyNumberFormat="1" applyFont="1" applyFill="1" applyBorder="1" applyAlignment="1">
      <x:alignment vertical="center"/>
    </x:xf>
    <x:xf numFmtId="0" fontId="5" fillId="0" borderId="9" xfId="0" applyNumberFormat="1" applyFont="1" applyFill="1" applyBorder="1" applyAlignment="1">
      <x:alignment vertical="center"/>
    </x:xf>
    <x:xf numFmtId="0" fontId="5" fillId="5" borderId="1" xfId="0" applyNumberFormat="1" applyFont="1" applyFill="1" applyBorder="1" applyAlignment="1">
      <x:alignment vertical="center"/>
    </x:xf>
    <x:xf numFmtId="200" fontId="5" fillId="0" borderId="1" xfId="0" applyNumberFormat="1" applyFont="1" applyFill="1" applyBorder="1" applyAlignment="1">
      <x:alignment vertical="center"/>
    </x:xf>
    <x:xf numFmtId="0" fontId="5" fillId="0" borderId="4" xfId="0" applyNumberFormat="1" applyFont="1" applyFill="1" applyBorder="1" applyAlignment="1">
      <x:alignment vertical="center" wrapText="1"/>
    </x:xf>
    <x:xf numFmtId="0" fontId="5" fillId="0" borderId="6" xfId="0" applyNumberFormat="1" applyFont="1" applyFill="1" applyBorder="1" applyAlignment="1">
      <x:alignment vertical="center" wrapText="1"/>
    </x:xf>
    <x:xf numFmtId="0" fontId="5" fillId="0" borderId="9" xfId="0" applyNumberFormat="1" applyFont="1" applyFill="1" applyBorder="1" applyAlignment="1">
      <x:alignment vertical="center" wrapText="1"/>
    </x:xf>
    <x:xf numFmtId="0" fontId="11" fillId="0" borderId="0" xfId="0" applyNumberFormat="1" applyFont="1" applyFill="1" applyBorder="1"/>
    <x:xf numFmtId="0" fontId="12" fillId="2" borderId="0" xfId="0" applyNumberFormat="1" applyFont="1" applyFill="1" applyBorder="1"/>
    <x:xf numFmtId="0" fontId="12" fillId="2" borderId="0" xfId="0" applyNumberFormat="1" applyFont="1" applyFill="1" applyBorder="1" applyAlignment="1">
      <x:alignment wrapText="1"/>
    </x:xf>
    <x:xf numFmtId="203" fontId="0" fillId="0" borderId="0" xfId="0" applyNumberFormat="1" applyFont="1" applyFill="1" applyBorder="1"/>
    <x:xf numFmtId="203" fontId="0" fillId="0" borderId="10" xfId="0" applyNumberFormat="1" applyFont="1" applyFill="1" applyBorder="1"/>
    <x:xf numFmtId="203" fontId="0" fillId="0" borderId="11" xfId="0" applyNumberFormat="1" applyFont="1" applyFill="1" applyBorder="1"/>
    <x:xf numFmtId="200" fontId="0" fillId="0" borderId="11" xfId="0" applyNumberFormat="1" applyFont="1" applyFill="1" applyBorder="1"/>
    <x:xf numFmtId="200" fontId="0" fillId="0" borderId="12" xfId="0" applyNumberFormat="1" applyFont="1" applyFill="1" applyBorder="1"/>
    <x:xf numFmtId="203" fontId="0" fillId="0" borderId="13" xfId="0" applyNumberFormat="1" applyFont="1" applyFill="1" applyBorder="1"/>
    <x:xf numFmtId="203" fontId="0" fillId="0" borderId="14" xfId="0" applyNumberFormat="1" applyFont="1" applyFill="1" applyBorder="1"/>
    <x:xf numFmtId="200" fontId="0" fillId="0" borderId="14" xfId="0" applyNumberFormat="1" applyFont="1" applyFill="1" applyBorder="1"/>
    <x:xf numFmtId="200" fontId="0" fillId="0" borderId="15" xfId="0" applyNumberFormat="1" applyFont="1" applyFill="1" applyBorder="1"/>
    <x:xf numFmtId="203" fontId="0" fillId="0" borderId="16" xfId="0" applyNumberFormat="1" applyFont="1" applyFill="1" applyBorder="1"/>
    <x:xf numFmtId="203" fontId="0" fillId="0" borderId="17" xfId="0" applyNumberFormat="1" applyFont="1" applyFill="1" applyBorder="1"/>
    <x:xf numFmtId="200" fontId="0" fillId="0" borderId="17" xfId="0" applyNumberFormat="1" applyFont="1" applyFill="1" applyBorder="1"/>
    <x:xf numFmtId="200" fontId="0" fillId="0" borderId="18" xfId="0" applyNumberFormat="1" applyFont="1" applyFill="1" applyBorder="1"/>
    <x:xf numFmtId="203" fontId="13" fillId="0" borderId="10" xfId="0" applyNumberFormat="1" applyFont="1" applyFill="1" applyBorder="1"/>
    <x:xf numFmtId="203" fontId="13" fillId="0" borderId="11" xfId="0" applyNumberFormat="1" applyFont="1" applyFill="1" applyBorder="1"/>
    <x:xf numFmtId="200" fontId="13" fillId="0" borderId="11" xfId="0" applyNumberFormat="1" applyFont="1" applyFill="1" applyBorder="1"/>
    <x:xf numFmtId="200" fontId="13" fillId="0" borderId="12" xfId="0" applyNumberFormat="1" applyFont="1" applyFill="1" applyBorder="1"/>
    <x:xf numFmtId="203" fontId="13" fillId="0" borderId="13" xfId="0" applyNumberFormat="1" applyFont="1" applyFill="1" applyBorder="1"/>
    <x:xf numFmtId="203" fontId="13" fillId="0" borderId="14" xfId="0" applyNumberFormat="1" applyFont="1" applyFill="1" applyBorder="1"/>
    <x:xf numFmtId="200" fontId="13" fillId="0" borderId="14" xfId="0" applyNumberFormat="1" applyFont="1" applyFill="1" applyBorder="1"/>
    <x:xf numFmtId="200" fontId="13" fillId="0" borderId="15" xfId="0" applyNumberFormat="1" applyFont="1" applyFill="1" applyBorder="1"/>
    <x:xf numFmtId="203" fontId="13" fillId="0" borderId="16" xfId="0" applyNumberFormat="1" applyFont="1" applyFill="1" applyBorder="1"/>
    <x:xf numFmtId="203" fontId="13" fillId="0" borderId="17" xfId="0" applyNumberFormat="1" applyFont="1" applyFill="1" applyBorder="1"/>
    <x:xf numFmtId="200" fontId="13" fillId="0" borderId="17" xfId="0" applyNumberFormat="1" applyFont="1" applyFill="1" applyBorder="1"/>
    <x:xf numFmtId="200" fontId="13" fillId="0" borderId="18" xfId="0" applyNumberFormat="1" applyFont="1" applyFill="1" applyBorder="1"/>
    <x:xf numFmtId="203" fontId="13" fillId="6" borderId="10" xfId="0" applyNumberFormat="1" applyFont="1" applyFill="1" applyBorder="1"/>
    <x:xf numFmtId="203" fontId="13" fillId="6" borderId="13" xfId="0" applyNumberFormat="1" applyFont="1" applyFill="1" applyBorder="1"/>
    <x:xf numFmtId="203" fontId="13" fillId="6" borderId="16" xfId="0" applyNumberFormat="1" applyFont="1" applyFill="1" applyBorder="1"/>
    <x:xf numFmtId="0" fontId="3" fillId="3" borderId="1" xfId="0" applyNumberFormat="1" applyFont="1" applyFill="1" applyBorder="1"/>
    <x:xf numFmtId="200" fontId="0" fillId="0" borderId="1" xfId="0" applyNumberFormat="1" applyFont="1" applyFill="1" applyBorder="1"/>
    <x:xf numFmtId="0" fontId="9" fillId="2" borderId="0" xfId="0" applyNumberFormat="1" applyFont="1" applyFill="1" applyBorder="1" applyAlignment="1">
      <x:alignment wrapText="1"/>
    </x:xf>
    <x:xf numFmtId="203" fontId="5" fillId="6" borderId="10" xfId="0" applyNumberFormat="1" applyFont="1" applyFill="1" applyBorder="1"/>
    <x:xf numFmtId="203" fontId="5" fillId="0" borderId="11" xfId="0" applyNumberFormat="1" applyFont="1" applyFill="1" applyBorder="1"/>
    <x:xf numFmtId="200" fontId="5" fillId="0" borderId="11" xfId="0" applyNumberFormat="1" applyFont="1" applyFill="1" applyBorder="1"/>
    <x:xf numFmtId="200" fontId="5" fillId="0" borderId="12" xfId="0" applyNumberFormat="1" applyFont="1" applyFill="1" applyBorder="1"/>
    <x:xf numFmtId="203" fontId="5" fillId="6" borderId="13" xfId="0" applyNumberFormat="1" applyFont="1" applyFill="1" applyBorder="1"/>
    <x:xf numFmtId="203" fontId="5" fillId="0" borderId="14" xfId="0" applyNumberFormat="1" applyFont="1" applyFill="1" applyBorder="1"/>
    <x:xf numFmtId="200" fontId="5" fillId="0" borderId="14" xfId="0" applyNumberFormat="1" applyFont="1" applyFill="1" applyBorder="1"/>
    <x:xf numFmtId="200" fontId="5" fillId="0" borderId="15" xfId="0" applyNumberFormat="1" applyFont="1" applyFill="1" applyBorder="1"/>
    <x:xf numFmtId="203" fontId="5" fillId="6" borderId="16" xfId="0" applyNumberFormat="1" applyFont="1" applyFill="1" applyBorder="1"/>
    <x:xf numFmtId="203" fontId="5" fillId="0" borderId="17" xfId="0" applyNumberFormat="1" applyFont="1" applyFill="1" applyBorder="1"/>
    <x:xf numFmtId="200" fontId="5" fillId="0" borderId="17" xfId="0" applyNumberFormat="1" applyFont="1" applyFill="1" applyBorder="1"/>
    <x:xf numFmtId="200" fontId="5" fillId="0" borderId="18" xfId="0" applyNumberFormat="1" applyFont="1" applyFill="1" applyBorder="1"/>
    <x:xf numFmtId="0" fontId="9" fillId="3" borderId="1" xfId="0" applyNumberFormat="1" applyFont="1" applyFill="1" applyBorder="1"/>
    <x:xf numFmtId="200" fontId="5" fillId="0" borderId="1" xfId="0" applyNumberFormat="1" applyFont="1" applyFill="1" applyBorder="1"/>
    <x:xf numFmtId="0" fontId="9" fillId="2" borderId="0" xfId="0" applyNumberFormat="1" applyFont="1" applyFill="1" applyBorder="1" applyAlignment="1">
      <x:alignment vertical="center" wrapText="1"/>
    </x:xf>
    <x:xf numFmtId="203" fontId="5" fillId="6" borderId="10" xfId="0" applyNumberFormat="1" applyFont="1" applyFill="1" applyBorder="1" applyAlignment="1">
      <x:alignment vertical="center"/>
    </x:xf>
    <x:xf numFmtId="203" fontId="5" fillId="0" borderId="11" xfId="0" applyNumberFormat="1" applyFont="1" applyFill="1" applyBorder="1" applyAlignment="1">
      <x:alignment vertical="center"/>
    </x:xf>
    <x:xf numFmtId="200" fontId="5" fillId="0" borderId="11" xfId="0" applyNumberFormat="1" applyFont="1" applyFill="1" applyBorder="1" applyAlignment="1">
      <x:alignment vertical="center"/>
    </x:xf>
    <x:xf numFmtId="200" fontId="5" fillId="0" borderId="12" xfId="0" applyNumberFormat="1" applyFont="1" applyFill="1" applyBorder="1" applyAlignment="1">
      <x:alignment vertical="center"/>
    </x:xf>
    <x:xf numFmtId="203" fontId="5" fillId="6" borderId="13" xfId="0" applyNumberFormat="1" applyFont="1" applyFill="1" applyBorder="1" applyAlignment="1">
      <x:alignment vertical="center"/>
    </x:xf>
    <x:xf numFmtId="203" fontId="5" fillId="0" borderId="14" xfId="0" applyNumberFormat="1" applyFont="1" applyFill="1" applyBorder="1" applyAlignment="1">
      <x:alignment vertical="center"/>
    </x:xf>
    <x:xf numFmtId="200" fontId="5" fillId="0" borderId="14" xfId="0" applyNumberFormat="1" applyFont="1" applyFill="1" applyBorder="1" applyAlignment="1">
      <x:alignment vertical="center"/>
    </x:xf>
    <x:xf numFmtId="200" fontId="5" fillId="0" borderId="15" xfId="0" applyNumberFormat="1" applyFont="1" applyFill="1" applyBorder="1" applyAlignment="1">
      <x:alignment vertical="center"/>
    </x:xf>
    <x:xf numFmtId="203" fontId="5" fillId="6" borderId="16" xfId="0" applyNumberFormat="1" applyFont="1" applyFill="1" applyBorder="1" applyAlignment="1">
      <x:alignment vertical="center"/>
    </x:xf>
    <x:xf numFmtId="203" fontId="5" fillId="0" borderId="17" xfId="0" applyNumberFormat="1" applyFont="1" applyFill="1" applyBorder="1" applyAlignment="1">
      <x:alignment vertical="center"/>
    </x:xf>
    <x:xf numFmtId="200" fontId="5" fillId="0" borderId="17" xfId="0" applyNumberFormat="1" applyFont="1" applyFill="1" applyBorder="1" applyAlignment="1">
      <x:alignment vertical="center"/>
    </x:xf>
    <x:xf numFmtId="200" fontId="5" fillId="0" borderId="18" xfId="0" applyNumberFormat="1" applyFont="1" applyFill="1" applyBorder="1" applyAlignment="1">
      <x:alignment vertical="center"/>
    </x:xf>
    <x:xf numFmtId="0" fontId="9" fillId="3" borderId="1" xfId="0" applyNumberFormat="1" applyFont="1" applyFill="1" applyBorder="1" applyAlignment="1">
      <x:alignment vertical="center"/>
    </x:xf>
    <x:xf numFmtId="203" fontId="0" fillId="0" borderId="1" xfId="0" applyNumberFormat="1" applyFont="1" applyFill="1" applyBorder="1"/>
    <x:xf numFmtId="0" fontId="0" fillId="6" borderId="1" xfId="0" applyNumberFormat="1" applyFont="1" applyFill="1" applyBorder="1"/>
    <x:xf numFmtId="200" fontId="14" fillId="0" borderId="1" xfId="0" applyNumberFormat="1" applyFont="1" applyFill="1" applyBorder="1"/>
    <x:xf numFmtId="203" fontId="14" fillId="0" borderId="1" xfId="0" applyNumberFormat="1" applyFont="1" applyFill="1" applyBorder="1"/>
    <x:xf numFmtId="0" fontId="9" fillId="0" borderId="1" xfId="0" applyNumberFormat="1" applyFont="1" applyFill="1" applyBorder="1"/>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12" fillId="2" borderId="10" xfId="0" applyNumberFormat="1" applyFont="1" applyFill="1" applyBorder="1"/>
    <x:xf numFmtId="0" fontId="12" fillId="2" borderId="11" xfId="0" applyNumberFormat="1" applyFont="1" applyFill="1" applyBorder="1"/>
    <x:xf numFmtId="0" fontId="12" fillId="2" borderId="12" xfId="0" applyNumberFormat="1" applyFont="1" applyFill="1" applyBorder="1"/>
    <x:xf numFmtId="0" fontId="5" fillId="6" borderId="1" xfId="0" applyNumberFormat="1" applyFont="1" applyFill="1" applyBorder="1"/>
    <x:xf numFmtId="200" fontId="9" fillId="0" borderId="1" xfId="0" applyNumberFormat="1" applyFont="1" applyFill="1" applyBorder="1"/>
    <x:xf numFmtId="203" fontId="9" fillId="0" borderId="1" xfId="0" applyNumberFormat="1" applyFont="1" applyFill="1" applyBorder="1"/>
    <x:xf numFmtId="0" fontId="5" fillId="5" borderId="0" xfId="0" applyNumberFormat="1" applyFont="1" applyFill="1" applyBorder="1" applyAlignment="1">
      <x:alignment vertical="top" wrapText="1"/>
    </x:xf>
    <x:xf numFmtId="0" fontId="9" fillId="2" borderId="10" xfId="0" applyNumberFormat="1" applyFont="1" applyFill="1" applyBorder="1"/>
    <x:xf numFmtId="0" fontId="9" fillId="2" borderId="11" xfId="0" applyNumberFormat="1" applyFont="1" applyFill="1" applyBorder="1"/>
    <x:xf numFmtId="0" fontId="9" fillId="2" borderId="12" xfId="0" applyNumberFormat="1" applyFont="1" applyFill="1" applyBorder="1"/>
    <x:xf numFmtId="203" fontId="5" fillId="0" borderId="13" xfId="0" applyNumberFormat="1" applyFont="1" applyFill="1" applyBorder="1"/>
    <x:xf numFmtId="203" fontId="5" fillId="0" borderId="16" xfId="0" applyNumberFormat="1" applyFont="1" applyFill="1" applyBorder="1"/>
    <x:xf numFmtId="0" fontId="5" fillId="4" borderId="0" xfId="0" applyNumberFormat="1" applyFont="1" applyFill="1" applyBorder="1" applyAlignment="1">
      <x:alignment vertical="center" wrapText="1"/>
    </x:xf>
    <x:xf numFmtId="0" fontId="5" fillId="6" borderId="1" xfId="0" applyNumberFormat="1" applyFont="1" applyFill="1" applyBorder="1" applyAlignment="1">
      <x:alignment vertical="center"/>
    </x:xf>
    <x:xf numFmtId="200" fontId="9" fillId="0" borderId="1" xfId="0" applyNumberFormat="1" applyFont="1" applyFill="1" applyBorder="1" applyAlignment="1">
      <x:alignment vertical="center"/>
    </x:xf>
    <x:xf numFmtId="203" fontId="9" fillId="0" borderId="1"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9" fillId="0" borderId="1" xfId="0" applyNumberFormat="1" applyFont="1" applyFill="1" applyBorder="1" applyAlignment="1">
      <x:alignment vertical="center"/>
    </x:xf>
    <x:xf numFmtId="0" fontId="9" fillId="2" borderId="10" xfId="0" applyNumberFormat="1" applyFont="1" applyFill="1" applyBorder="1" applyAlignment="1">
      <x:alignment vertical="center"/>
    </x:xf>
    <x:xf numFmtId="0" fontId="9" fillId="2" borderId="11" xfId="0" applyNumberFormat="1" applyFont="1" applyFill="1" applyBorder="1" applyAlignment="1">
      <x:alignment vertical="center"/>
    </x:xf>
    <x:xf numFmtId="0" fontId="9" fillId="2" borderId="12" xfId="0" applyNumberFormat="1" applyFont="1" applyFill="1" applyBorder="1" applyAlignment="1">
      <x:alignment vertical="center"/>
    </x:xf>
    <x:xf numFmtId="203" fontId="5" fillId="0" borderId="13" xfId="0" applyNumberFormat="1" applyFont="1" applyFill="1" applyBorder="1" applyAlignment="1">
      <x:alignment vertical="center"/>
    </x:xf>
    <x:xf numFmtId="203" fontId="5" fillId="0" borderId="16" xfId="0" applyNumberFormat="1" applyFont="1" applyFill="1" applyBorder="1" applyAlignment="1">
      <x:alignment vertical="center"/>
    </x:xf>
    <x:xf numFmtId="0" fontId="15" fillId="2" borderId="10" xfId="0" applyNumberFormat="1" applyFont="1" applyFill="1" applyBorder="1" applyAlignment="1">
      <x:alignment vertical="center"/>
    </x:xf>
    <x:xf numFmtId="0" fontId="15" fillId="2" borderId="11" xfId="0" applyNumberFormat="1" applyFont="1" applyFill="1" applyBorder="1" applyAlignment="1">
      <x:alignment vertical="center"/>
    </x:xf>
    <x:xf numFmtId="0" fontId="15" fillId="2" borderId="12" xfId="0" applyNumberFormat="1" applyFont="1" applyFill="1" applyBorder="1" applyAlignment="1">
      <x:alignment vertical="center"/>
    </x:xf>
    <x:xf numFmtId="203" fontId="13" fillId="0" borderId="13" xfId="0" applyNumberFormat="1" applyFont="1" applyFill="1" applyBorder="1" applyAlignment="1">
      <x:alignment vertical="center"/>
    </x:xf>
    <x:xf numFmtId="200" fontId="13" fillId="0" borderId="14" xfId="0" applyNumberFormat="1" applyFont="1" applyFill="1" applyBorder="1" applyAlignment="1">
      <x:alignment vertical="center"/>
    </x:xf>
    <x:xf numFmtId="200" fontId="13" fillId="0" borderId="15" xfId="0" applyNumberFormat="1" applyFont="1" applyFill="1" applyBorder="1" applyAlignment="1">
      <x:alignment vertical="center"/>
    </x:xf>
    <x:xf numFmtId="203" fontId="13" fillId="0" borderId="16" xfId="0" applyNumberFormat="1" applyFont="1" applyFill="1" applyBorder="1" applyAlignment="1">
      <x:alignment vertical="center"/>
    </x:xf>
    <x:xf numFmtId="200" fontId="13" fillId="0" borderId="17" xfId="0" applyNumberFormat="1" applyFont="1" applyFill="1" applyBorder="1" applyAlignment="1">
      <x:alignment vertical="center"/>
    </x:xf>
    <x:xf numFmtId="200" fontId="13" fillId="0" borderId="18" xfId="0" applyNumberFormat="1" applyFont="1" applyFill="1" applyBorder="1" applyAlignment="1">
      <x:alignment vertical="center"/>
    </x:xf>
    <x:xf numFmtId="0" fontId="3" fillId="3" borderId="0" xfId="0" applyNumberFormat="1" applyFont="1" applyFill="1" applyBorder="1" applyAlignment="1">
      <x:alignment vertical="center"/>
    </x:xf>
    <x:xf numFmtId="0" fontId="12" fillId="2" borderId="10" xfId="0" applyNumberFormat="1" applyFont="1" applyFill="1" applyBorder="1" applyAlignment="1">
      <x:alignment vertical="center"/>
    </x:xf>
    <x:xf numFmtId="0" fontId="12" fillId="2" borderId="11" xfId="0" applyNumberFormat="1" applyFont="1" applyFill="1" applyBorder="1" applyAlignment="1">
      <x:alignment vertical="center"/>
    </x:xf>
    <x:xf numFmtId="0" fontId="12" fillId="2" borderId="12" xfId="0" applyNumberFormat="1" applyFont="1" applyFill="1" applyBorder="1" applyAlignment="1">
      <x:alignment vertical="center"/>
    </x:xf>
    <x:xf numFmtId="0" fontId="12" fillId="2" borderId="1" xfId="0" applyNumberFormat="1" applyFont="1" applyFill="1" applyBorder="1" applyAlignment="1">
      <x:alignment vertical="center"/>
    </x:xf>
    <x:xf numFmtId="0" fontId="12" fillId="2" borderId="0" xfId="0" applyNumberFormat="1" applyFont="1" applyFill="1" applyBorder="1" applyAlignment="1">
      <x:alignment vertical="center" wrapText="1"/>
    </x:xf>
    <x:xf numFmtId="0" fontId="3" fillId="3" borderId="1" xfId="0" applyNumberFormat="1" applyFont="1" applyFill="1" applyBorder="1" applyAlignment="1">
      <x:alignment vertical="center"/>
    </x:xf>
  </x:cellXfs>
  <x:cellStyles count="1">
    <x:cellStyle name="Normal" xfId="0"/>
  </x:cellStyles>
  <x:dxfs count="3">
    <x:dxf>
      <x:font>
        <x:b/>
        <x:color rgb="FFB42318"/>
      </x:font>
      <x:fill>
        <x:patternFill patternType="solid">
          <x:bgColor rgb="FFFDECEC"/>
        </x:patternFill>
      </x:fill>
    </x:dxf>
    <x:dxf>
      <x:font>
        <x:b/>
        <x:color rgb="FFB42318"/>
      </x:font>
      <x:fill>
        <x:patternFill patternType="solid">
          <x:bgColor rgb="FFFDECEC"/>
        </x:patternFill>
      </x:fill>
    </x:dxf>
    <x:dxf>
      <x:font>
        <x:b/>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df21cf6ece4786" /><Relationship Type="http://schemas.openxmlformats.org/officeDocument/2006/relationships/theme" Target="/xl/theme/theme1.xml" Id="R573291c5ff274ccb" /><Relationship Type="http://schemas.openxmlformats.org/officeDocument/2006/relationships/sharedStrings" Target="/xl/sharedStrings.xml" Id="R9a4a1a9e682a4eaa" /><Relationship Type="http://schemas.openxmlformats.org/officeDocument/2006/relationships/worksheet" Target="/xl/worksheets/sheet1.xml" Id="R25ba1e294ee94100" /><Relationship Type="http://schemas.openxmlformats.org/officeDocument/2006/relationships/worksheet" Target="/xl/worksheets/sheet2.xml" Id="R72967886542647fe" /><Relationship Type="http://schemas.openxmlformats.org/officeDocument/2006/relationships/worksheet" Target="/xl/worksheets/sheet3.xml" Id="R0caf9c7d4dcd49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ca6448afc742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Trésorerie de fin de mois (€)</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Cash fin</c:v>
          </c:tx>
          <c:spPr>
            <a:ln xmlns:a="http://schemas.openxmlformats.org/drawingml/2006/main" w="19050">
              <a:solidFill>
                <a:srgbClr val="167D7F"/>
              </a:solidFill>
              <a:prstDash val="solid"/>
            </a:ln>
          </c:spPr>
          <c:marker>
            <c:symbol val="none"/>
          </c:marker>
          <c:cat>
            <c:strRef>
              <c:f>'Synthèse'!$B$33:$B$56</c:f>
              <c:strCache>
                <c:ptCount val="0"/>
              </c:strCache>
            </c:strRef>
          </c:cat>
          <c:val>
            <c:numRef>
              <c:f>'Synthèse'!$C$33:$C$56</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19</xdr:row>
      <xdr:rowOff>0</xdr:rowOff>
    </xdr:from>
    <xdr:to>
      <xdr:col>10</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ca6448afc7423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11e0bbcb6614812" /></Relationships>
</file>

<file path=xl/worksheets/sheet1.xml><?xml version="1.0" encoding="utf-8"?>
<x:worksheet xmlns:x="http://schemas.openxmlformats.org/spreadsheetml/2006/main">
  <x:sheetViews>
    <x:sheetView showGridLines="0" workbookViewId="0"/>
  </x:sheetViews>
  <x:sheetFormatPr defaultRowHeight="15"/>
  <x:cols>
    <x:col min="2" max="2" width="30" hidden="0" customWidth="1"/>
    <x:col min="3" max="3" width="18" hidden="0" customWidth="1"/>
    <x:col min="4" max="4" width="18" hidden="0" customWidth="1"/>
    <x:col min="5" max="5" width="18" hidden="0" customWidth="1"/>
    <x:col min="6" max="6" width="16" hidden="0" customWidth="1"/>
    <x:col min="7" max="7" width="16" hidden="0" customWidth="1"/>
    <x:col min="8" max="8" width="16" hidden="0" customWidth="1"/>
    <x:col min="9" max="9" width="16" hidden="0" customWidth="1"/>
    <x:col min="10" max="10" width="16" hidden="0" customWidth="1"/>
  </x:cols>
  <x:sheetData>
    <x:row r="2" ht="30" customHeight="1">
      <x:c r="B2" s="3" t="str">
        <x:v>Projection financière Salverys</x:v>
      </x:c>
      <x:c r="C2" s="3" t="str">
        <x:v>Projection financière Salverys</x:v>
      </x:c>
      <x:c r="D2" s="3" t="str">
        <x:v>Projection financière Salverys</x:v>
      </x:c>
      <x:c r="E2" s="3" t="str">
        <x:v>Projection financière Salverys</x:v>
      </x:c>
      <x:c r="F2" s="3" t="str">
        <x:v>Projection financière Salverys</x:v>
      </x:c>
      <x:c r="G2" s="3" t="str">
        <x:v>Projection financière Salverys</x:v>
      </x:c>
      <x:c r="H2" s="3" t="str">
        <x:v>Projection financière Salverys</x:v>
      </x:c>
      <x:c r="I2" s="3" t="str">
        <x:v>Projection financière Salverys</x:v>
      </x:c>
      <x:c r="J2" s="3" t="str">
        <x:v>Projection financière Salverys</x:v>
      </x:c>
    </x:row>
    <x:row r="3">
      <x:c r="B3" s="40" t="str">
        <x:v>Modèle de trésorerie sur 24 mois pour l'offre partenaire en marque blanche</x:v>
      </x:c>
      <x:c r="C3" s="40"/>
      <x:c r="D3" s="40"/>
      <x:c r="E3" s="40"/>
      <x:c r="F3" s="40"/>
      <x:c r="G3" s="40"/>
      <x:c r="H3" s="40"/>
      <x:c r="I3" s="40"/>
      <x:c r="J3" s="40"/>
    </x:row>
    <x:row r="4">
      <x:c r="B4" s="41"/>
      <x:c r="C4" s="41"/>
      <x:c r="D4" s="41"/>
      <x:c r="E4" s="41"/>
      <x:c r="F4" s="41"/>
      <x:c r="G4" s="41"/>
      <x:c r="H4" s="41"/>
      <x:c r="I4" s="41"/>
      <x:c r="J4" s="41"/>
    </x:row>
    <x:row r="5" ht="22" customHeight="1">
      <x:c r="B5" s="41" t="str">
        <x:v>Scénario actif</x:v>
      </x:c>
      <x:c r="C5" s="43" t="str">
        <x:f>'Hypothèses'!C6</x:f>
        <x:v>Médian</x:v>
      </x:c>
      <x:c r="D5" s="41"/>
      <x:c r="E5" s="180" t="str">
        <x:v>Lecture du modèle</x:v>
      </x:c>
      <x:c r="F5" s="180" t="str">
        <x:v>Lecture du modèle</x:v>
      </x:c>
      <x:c r="G5" s="180" t="str">
        <x:v>Lecture du modèle</x:v>
      </x:c>
      <x:c r="H5" s="180" t="str">
        <x:v>Lecture du modèle</x:v>
      </x:c>
      <x:c r="I5" s="180" t="str">
        <x:v>Lecture du modèle</x:v>
      </x:c>
      <x:c r="J5" s="180" t="str">
        <x:v>Lecture du modèle</x:v>
      </x:c>
    </x:row>
    <x:row r="6">
      <x:c r="B6" s="41"/>
      <x:c r="C6" s="41"/>
      <x:c r="D6" s="41"/>
      <x:c r="E6" s="160" t="str">
        <x:v>Le scénario médian suppose deux positions helpdesk signées en M4, puis deux positions support en M9. Chaque contrat peut utiliser le tarif Client final, Client MB ou un tarif personnalisé. Les scénarios préchargés utilisent Client MB. Recrutement en M+1, première facture en M+2 et encaissement en M+3.</x:v>
      </x:c>
      <x:c r="F6" s="160"/>
      <x:c r="G6" s="160"/>
      <x:c r="H6" s="160"/>
      <x:c r="I6" s="160"/>
      <x:c r="J6" s="160"/>
    </x:row>
    <x:row r="7" ht="24" customHeight="1">
      <x:c r="B7" s="161" t="str">
        <x:v>Trésorerie à M24</x:v>
      </x:c>
      <x:c r="C7" s="162" t="n">
        <x:f>'Projection 24 mois'!R29</x:f>
        <x:v>-1296.2000000000135</x:v>
      </x:c>
      <x:c r="D7" s="41"/>
      <x:c r="E7" s="160"/>
      <x:c r="F7" s="160"/>
      <x:c r="G7" s="160"/>
      <x:c r="H7" s="160"/>
      <x:c r="I7" s="160"/>
      <x:c r="J7" s="160"/>
    </x:row>
    <x:row r="8" ht="24" customHeight="1">
      <x:c r="B8" s="161" t="str">
        <x:v>Creux de trésorerie</x:v>
      </x:c>
      <x:c r="C8" s="162" t="n">
        <x:f>MIN('Projection 24 mois'!R6:R29)</x:f>
        <x:v>-9113.080000000004</x:v>
      </x:c>
      <x:c r="D8" s="41"/>
      <x:c r="E8" s="160"/>
      <x:c r="F8" s="160"/>
      <x:c r="G8" s="160"/>
      <x:c r="H8" s="160"/>
      <x:c r="I8" s="160"/>
      <x:c r="J8" s="160"/>
    </x:row>
    <x:row r="9" ht="24" customHeight="1">
      <x:c r="B9" s="161" t="str">
        <x:v>Mois du creux</x:v>
      </x:c>
      <x:c r="C9" s="163" t="n">
        <x:f>INDEX('Projection 24 mois'!A6:A29,MATCH(C8,'Projection 24 mois'!R6:R29,0))</x:f>
        <x:v>11</x:v>
      </x:c>
      <x:c r="D9" s="41"/>
      <x:c r="E9" s="160"/>
      <x:c r="F9" s="160"/>
      <x:c r="G9" s="160"/>
      <x:c r="H9" s="160"/>
      <x:c r="I9" s="160"/>
      <x:c r="J9" s="160"/>
    </x:row>
    <x:row r="10" ht="24" customHeight="1">
      <x:c r="B10" s="161" t="str">
        <x:v>Besoin avec coussin de 30 %</x:v>
      </x:c>
      <x:c r="C10" s="163" t="n">
        <x:f>MAX(0,-C8)*1.3</x:f>
        <x:v>11847.004000000004</x:v>
      </x:c>
      <x:c r="D10" s="41"/>
      <x:c r="E10" s="41"/>
      <x:c r="F10" s="41"/>
      <x:c r="G10" s="41"/>
      <x:c r="H10" s="41"/>
      <x:c r="I10" s="41"/>
      <x:c r="J10" s="41"/>
    </x:row>
    <x:row r="11" ht="22" customHeight="1">
      <x:c r="B11" s="161" t="str">
        <x:v>Agents à M24</x:v>
      </x:c>
      <x:c r="C11" s="163" t="n">
        <x:f>'Projection 24 mois'!D29</x:f>
        <x:v>4</x:v>
      </x:c>
      <x:c r="D11" s="41"/>
      <x:c r="E11" s="180" t="str">
        <x:v>Points à confirmer avant décision</x:v>
      </x:c>
      <x:c r="F11" s="180" t="str">
        <x:v>Points à confirmer avant décision</x:v>
      </x:c>
      <x:c r="G11" s="180" t="str">
        <x:v>Points à confirmer avant décision</x:v>
      </x:c>
      <x:c r="H11" s="180" t="str">
        <x:v>Points à confirmer avant décision</x:v>
      </x:c>
      <x:c r="I11" s="180" t="str">
        <x:v>Points à confirmer avant décision</x:v>
      </x:c>
      <x:c r="J11" s="180" t="str">
        <x:v>Points à confirmer avant décision</x:v>
      </x:c>
    </x:row>
    <x:row r="12" ht="24" customHeight="1">
      <x:c r="B12" s="161" t="str">
        <x:v>Managers à M24</x:v>
      </x:c>
      <x:c r="C12" s="163" t="n">
        <x:f>'Projection 24 mois'!G29</x:f>
        <x:v>2</x:v>
      </x:c>
      <x:c r="D12" s="41"/>
      <x:c r="E12" s="164" t="str">
        <x:v>Solde bancaire initial, cotisations employeur applicables, coût réel d'onboarding, fiscalité, comptabilité, assurance, frais bancaires et change, dates de renouvellement des outils et calendrier du pipeline signé. Les chiffres actuels sont des hypothèses de travail, pas des dépenses constatées.</x:v>
      </x:c>
      <x:c r="F12" s="164"/>
      <x:c r="G12" s="164"/>
      <x:c r="H12" s="164"/>
      <x:c r="I12" s="164"/>
      <x:c r="J12" s="164"/>
    </x:row>
    <x:row r="13" ht="24" customHeight="1">
      <x:c r="B13" s="161" t="str">
        <x:v>Facturation mensuelle à M24</x:v>
      </x:c>
      <x:c r="C13" s="162" t="n">
        <x:f>'Projection 24 mois'!H29</x:f>
        <x:v>5800</x:v>
      </x:c>
      <x:c r="D13" s="41"/>
      <x:c r="E13" s="164"/>
      <x:c r="F13" s="164"/>
      <x:c r="G13" s="164"/>
      <x:c r="H13" s="164"/>
      <x:c r="I13" s="164"/>
      <x:c r="J13" s="164"/>
    </x:row>
    <x:row r="14" ht="24" customHeight="1">
      <x:c r="B14" s="161" t="str">
        <x:v>Dépenses mensuelles à M24</x:v>
      </x:c>
      <x:c r="C14" s="162" t="n">
        <x:f>'Projection 24 mois'!O29</x:f>
        <x:v>5060.240000000001</x:v>
      </x:c>
      <x:c r="D14" s="41"/>
      <x:c r="E14" s="164"/>
      <x:c r="F14" s="164"/>
      <x:c r="G14" s="164"/>
      <x:c r="H14" s="164"/>
      <x:c r="I14" s="164"/>
      <x:c r="J14" s="164"/>
    </x:row>
    <x:row r="15">
      <x:c r="B15" s="41"/>
      <x:c r="C15" s="41"/>
      <x:c r="D15" s="41"/>
      <x:c r="E15" s="164"/>
      <x:c r="F15" s="164"/>
      <x:c r="G15" s="164"/>
      <x:c r="H15" s="164"/>
      <x:c r="I15" s="164"/>
      <x:c r="J15" s="164"/>
    </x:row>
    <x:row r="16">
      <x:c r="B16" s="161" t="str">
        <x:v>Contrôle des tarifs</x:v>
      </x:c>
      <x:c r="C16" s="165" t="str">
        <x:f>IF(COUNTIFS('Hypothèses'!B38:B43,C5,'Hypothèses'!J38:J43,"&lt;&gt;OK")=0,"OK","Tarif requis")</x:f>
        <x:v>OK</x:v>
      </x:c>
      <x:c r="D16" s="41"/>
      <x:c r="E16" s="164"/>
      <x:c r="F16" s="164"/>
      <x:c r="G16" s="164"/>
      <x:c r="H16" s="164"/>
      <x:c r="I16" s="164"/>
      <x:c r="J16" s="164"/>
    </x:row>
    <x:row r="17">
      <x:c r="B17" s="41"/>
      <x:c r="C17" s="41"/>
      <x:c r="D17" s="41"/>
      <x:c r="E17" s="41"/>
      <x:c r="F17" s="41"/>
      <x:c r="G17" s="41"/>
      <x:c r="H17" s="41"/>
      <x:c r="I17" s="41"/>
      <x:c r="J17" s="41"/>
    </x:row>
    <x:row r="18" ht="22" customHeight="1">
      <x:c r="B18" s="180" t="str">
        <x:v>Trésorerie mensuelle</x:v>
      </x:c>
      <x:c r="C18" s="180" t="str">
        <x:v>Trésorerie mensuelle</x:v>
      </x:c>
      <x:c r="D18" s="180" t="str">
        <x:v>Trésorerie mensuelle</x:v>
      </x:c>
      <x:c r="E18" s="180" t="str">
        <x:v>Trésorerie mensuelle</x:v>
      </x:c>
      <x:c r="F18" s="180" t="str">
        <x:v>Trésorerie mensuelle</x:v>
      </x:c>
      <x:c r="G18" s="180" t="str">
        <x:v>Trésorerie mensuelle</x:v>
      </x:c>
      <x:c r="H18" s="180" t="str">
        <x:v>Trésorerie mensuelle</x:v>
      </x:c>
      <x:c r="I18" s="180" t="str">
        <x:v>Trésorerie mensuelle</x:v>
      </x:c>
      <x:c r="J18" s="180" t="str">
        <x:v>Trésorerie mensuelle</x:v>
      </x:c>
    </x:row>
    <x:row r="19">
      <x:c r="B19" s="41"/>
      <x:c r="C19" s="41"/>
      <x:c r="D19" s="41"/>
      <x:c r="E19" s="41"/>
      <x:c r="F19" s="41"/>
      <x:c r="G19" s="41"/>
      <x:c r="H19" s="41"/>
      <x:c r="I19" s="41"/>
      <x:c r="J19" s="41"/>
    </x:row>
    <x:row r="20">
      <x:c r="B20" s="41"/>
      <x:c r="C20" s="41"/>
      <x:c r="D20" s="41"/>
      <x:c r="E20" s="41"/>
      <x:c r="F20" s="41"/>
      <x:c r="G20" s="41"/>
      <x:c r="H20" s="41"/>
      <x:c r="I20" s="41"/>
      <x:c r="J20" s="41"/>
    </x:row>
    <x:row r="21">
      <x:c r="B21" s="41"/>
      <x:c r="C21" s="41"/>
      <x:c r="D21" s="41"/>
      <x:c r="E21" s="41"/>
      <x:c r="F21" s="41"/>
      <x:c r="G21" s="41"/>
      <x:c r="H21" s="41"/>
      <x:c r="I21" s="41"/>
      <x:c r="J21" s="41"/>
    </x:row>
    <x:row r="22">
      <x:c r="B22" s="41"/>
      <x:c r="C22" s="41"/>
      <x:c r="D22" s="41"/>
      <x:c r="E22" s="41"/>
      <x:c r="F22" s="41"/>
      <x:c r="G22" s="41"/>
      <x:c r="H22" s="41"/>
      <x:c r="I22" s="41"/>
      <x:c r="J22" s="41"/>
    </x:row>
    <x:row r="23">
      <x:c r="B23" s="41"/>
      <x:c r="C23" s="41"/>
      <x:c r="D23" s="41"/>
      <x:c r="E23" s="41"/>
      <x:c r="F23" s="41"/>
      <x:c r="G23" s="41"/>
      <x:c r="H23" s="41"/>
      <x:c r="I23" s="41"/>
      <x:c r="J23" s="41"/>
    </x:row>
    <x:row r="24">
      <x:c r="B24" s="41"/>
      <x:c r="C24" s="41"/>
      <x:c r="D24" s="41"/>
      <x:c r="E24" s="41"/>
      <x:c r="F24" s="41"/>
      <x:c r="G24" s="41"/>
      <x:c r="H24" s="41"/>
      <x:c r="I24" s="41"/>
      <x:c r="J24" s="41"/>
    </x:row>
    <x:row r="25">
      <x:c r="B25" s="41"/>
      <x:c r="C25" s="41"/>
      <x:c r="D25" s="41"/>
      <x:c r="E25" s="41"/>
      <x:c r="F25" s="41"/>
      <x:c r="G25" s="41"/>
      <x:c r="H25" s="41"/>
      <x:c r="I25" s="41"/>
      <x:c r="J25" s="41"/>
    </x:row>
    <x:row r="26">
      <x:c r="B26" s="41"/>
      <x:c r="C26" s="41"/>
      <x:c r="D26" s="41"/>
      <x:c r="E26" s="41"/>
      <x:c r="F26" s="41"/>
      <x:c r="G26" s="41"/>
      <x:c r="H26" s="41"/>
      <x:c r="I26" s="41"/>
      <x:c r="J26" s="41"/>
    </x:row>
    <x:row r="27">
      <x:c r="B27" s="41"/>
      <x:c r="C27" s="41"/>
      <x:c r="D27" s="41"/>
      <x:c r="E27" s="41"/>
      <x:c r="F27" s="41"/>
      <x:c r="G27" s="41"/>
      <x:c r="H27" s="41"/>
      <x:c r="I27" s="41"/>
      <x:c r="J27" s="41"/>
    </x:row>
    <x:row r="28">
      <x:c r="B28" s="41"/>
      <x:c r="C28" s="41"/>
      <x:c r="D28" s="41"/>
      <x:c r="E28" s="41"/>
      <x:c r="F28" s="41"/>
      <x:c r="G28" s="41"/>
      <x:c r="H28" s="41"/>
      <x:c r="I28" s="41"/>
      <x:c r="J28" s="41"/>
    </x:row>
    <x:row r="29">
      <x:c r="B29" s="41"/>
      <x:c r="C29" s="41"/>
      <x:c r="D29" s="41"/>
      <x:c r="E29" s="41"/>
      <x:c r="F29" s="41"/>
      <x:c r="G29" s="41"/>
      <x:c r="H29" s="41"/>
      <x:c r="I29" s="41"/>
      <x:c r="J29" s="41"/>
    </x:row>
    <x:row r="30">
      <x:c r="B30" s="41"/>
      <x:c r="C30" s="41"/>
      <x:c r="D30" s="41"/>
      <x:c r="E30" s="41"/>
      <x:c r="F30" s="41"/>
      <x:c r="G30" s="41"/>
      <x:c r="H30" s="41"/>
      <x:c r="I30" s="41"/>
      <x:c r="J30" s="41"/>
    </x:row>
    <x:row r="31">
      <x:c r="B31" s="41"/>
      <x:c r="C31" s="41"/>
      <x:c r="D31" s="41"/>
      <x:c r="E31" s="41"/>
      <x:c r="F31" s="41"/>
      <x:c r="G31" s="41"/>
      <x:c r="H31" s="41"/>
      <x:c r="I31" s="41"/>
      <x:c r="J31" s="41"/>
    </x:row>
    <x:row r="32">
      <x:c r="B32" s="181" t="str">
        <x:v>Mois</x:v>
      </x:c>
      <x:c r="C32" s="182" t="str">
        <x:v>Cash fin</x:v>
      </x:c>
      <x:c r="D32" s="182" t="str">
        <x:v>Encaissements</x:v>
      </x:c>
      <x:c r="E32" s="183" t="str">
        <x:v>Dépenses</x:v>
      </x:c>
      <x:c r="F32" s="41"/>
      <x:c r="G32" s="41"/>
      <x:c r="H32" s="41"/>
      <x:c r="I32" s="41"/>
      <x:c r="J32" s="41"/>
    </x:row>
    <x:row r="33">
      <x:c r="B33" s="174" t="n">
        <x:f>'Projection 24 mois'!A6</x:f>
        <x:v>1</x:v>
      </x:c>
      <x:c r="C33" s="175" t="n">
        <x:f>'Projection 24 mois'!R6</x:f>
        <x:v>-68</x:v>
      </x:c>
      <x:c r="D33" s="175" t="n">
        <x:f>'Projection 24 mois'!I6</x:f>
        <x:v>0</x:v>
      </x:c>
      <x:c r="E33" s="176" t="n">
        <x:f>'Projection 24 mois'!O6</x:f>
        <x:v>68</x:v>
      </x:c>
      <x:c r="F33" s="41"/>
      <x:c r="G33" s="41"/>
      <x:c r="H33" s="41"/>
      <x:c r="I33" s="41"/>
      <x:c r="J33" s="41"/>
    </x:row>
    <x:row r="34">
      <x:c r="B34" s="174" t="n">
        <x:f>'Projection 24 mois'!A7</x:f>
        <x:v>2</x:v>
      </x:c>
      <x:c r="C34" s="175" t="n">
        <x:f>'Projection 24 mois'!R7</x:f>
        <x:v>-136</x:v>
      </x:c>
      <x:c r="D34" s="175" t="n">
        <x:f>'Projection 24 mois'!I7</x:f>
        <x:v>0</x:v>
      </x:c>
      <x:c r="E34" s="176" t="n">
        <x:f>'Projection 24 mois'!O7</x:f>
        <x:v>68</x:v>
      </x:c>
      <x:c r="F34" s="41"/>
      <x:c r="G34" s="41"/>
      <x:c r="H34" s="41"/>
      <x:c r="I34" s="41"/>
      <x:c r="J34" s="41"/>
    </x:row>
    <x:row r="35">
      <x:c r="B35" s="174" t="n">
        <x:f>'Projection 24 mois'!A8</x:f>
        <x:v>3</x:v>
      </x:c>
      <x:c r="C35" s="175" t="n">
        <x:f>'Projection 24 mois'!R8</x:f>
        <x:v>-204</x:v>
      </x:c>
      <x:c r="D35" s="175" t="n">
        <x:f>'Projection 24 mois'!I8</x:f>
        <x:v>0</x:v>
      </x:c>
      <x:c r="E35" s="176" t="n">
        <x:f>'Projection 24 mois'!O8</x:f>
        <x:v>68</x:v>
      </x:c>
      <x:c r="F35" s="41"/>
      <x:c r="G35" s="41"/>
      <x:c r="H35" s="41"/>
      <x:c r="I35" s="41"/>
      <x:c r="J35" s="41"/>
    </x:row>
    <x:row r="36">
      <x:c r="B36" s="174" t="n">
        <x:f>'Projection 24 mois'!A9</x:f>
        <x:v>4</x:v>
      </x:c>
      <x:c r="C36" s="175" t="n">
        <x:f>'Projection 24 mois'!R9</x:f>
        <x:v>-72</x:v>
      </x:c>
      <x:c r="D36" s="175" t="n">
        <x:f>'Projection 24 mois'!I9</x:f>
        <x:v>0</x:v>
      </x:c>
      <x:c r="E36" s="176" t="n">
        <x:f>'Projection 24 mois'!O9</x:f>
        <x:v>1668</x:v>
      </x:c>
      <x:c r="F36" s="41"/>
      <x:c r="G36" s="41"/>
      <x:c r="H36" s="41"/>
      <x:c r="I36" s="41"/>
      <x:c r="J36" s="41"/>
    </x:row>
    <x:row r="37">
      <x:c r="B37" s="174" t="n">
        <x:f>'Projection 24 mois'!A10</x:f>
        <x:v>5</x:v>
      </x:c>
      <x:c r="C37" s="175" t="n">
        <x:f>'Projection 24 mois'!R10</x:f>
        <x:v>-2636.1200000000003</x:v>
      </x:c>
      <x:c r="D37" s="175" t="n">
        <x:f>'Projection 24 mois'!I10</x:f>
        <x:v>0</x:v>
      </x:c>
      <x:c r="E37" s="176" t="n">
        <x:f>'Projection 24 mois'!O10</x:f>
        <x:v>2564.1200000000003</x:v>
      </x:c>
      <x:c r="F37" s="41"/>
      <x:c r="G37" s="41"/>
      <x:c r="H37" s="41"/>
      <x:c r="I37" s="41"/>
      <x:c r="J37" s="41"/>
    </x:row>
    <x:row r="38">
      <x:c r="B38" s="174" t="n">
        <x:f>'Projection 24 mois'!A11</x:f>
        <x:v>6</x:v>
      </x:c>
      <x:c r="C38" s="175" t="n">
        <x:f>'Projection 24 mois'!R11</x:f>
        <x:v>-5200.240000000001</x:v>
      </x:c>
      <x:c r="D38" s="175" t="n">
        <x:f>'Projection 24 mois'!I11</x:f>
        <x:v>0</x:v>
      </x:c>
      <x:c r="E38" s="176" t="n">
        <x:f>'Projection 24 mois'!O11</x:f>
        <x:v>2564.1200000000003</x:v>
      </x:c>
      <x:c r="F38" s="41"/>
      <x:c r="G38" s="41"/>
      <x:c r="H38" s="41"/>
      <x:c r="I38" s="41"/>
      <x:c r="J38" s="41"/>
    </x:row>
    <x:row r="39">
      <x:c r="B39" s="174" t="n">
        <x:f>'Projection 24 mois'!A12</x:f>
        <x:v>7</x:v>
      </x:c>
      <x:c r="C39" s="175" t="n">
        <x:f>'Projection 24 mois'!R12</x:f>
        <x:v>-5264.360000000001</x:v>
      </x:c>
      <x:c r="D39" s="175" t="n">
        <x:f>'Projection 24 mois'!I12</x:f>
        <x:v>2500</x:v>
      </x:c>
      <x:c r="E39" s="176" t="n">
        <x:f>'Projection 24 mois'!O12</x:f>
        <x:v>2564.1200000000003</x:v>
      </x:c>
      <x:c r="F39" s="41"/>
      <x:c r="G39" s="41"/>
      <x:c r="H39" s="41"/>
      <x:c r="I39" s="41"/>
      <x:c r="J39" s="41"/>
    </x:row>
    <x:row r="40">
      <x:c r="B40" s="174" t="n">
        <x:f>'Projection 24 mois'!A13</x:f>
        <x:v>8</x:v>
      </x:c>
      <x:c r="C40" s="175" t="n">
        <x:f>'Projection 24 mois'!R13</x:f>
        <x:v>-5328.480000000001</x:v>
      </x:c>
      <x:c r="D40" s="175" t="n">
        <x:f>'Projection 24 mois'!I13</x:f>
        <x:v>2500</x:v>
      </x:c>
      <x:c r="E40" s="176" t="n">
        <x:f>'Projection 24 mois'!O13</x:f>
        <x:v>2564.1200000000003</x:v>
      </x:c>
      <x:c r="F40" s="41"/>
      <x:c r="G40" s="41"/>
      <x:c r="H40" s="41"/>
      <x:c r="I40" s="41"/>
      <x:c r="J40" s="41"/>
    </x:row>
    <x:row r="41">
      <x:c r="B41" s="174" t="n">
        <x:f>'Projection 24 mois'!A14</x:f>
        <x:v>9</x:v>
      </x:c>
      <x:c r="C41" s="175" t="n">
        <x:f>'Projection 24 mois'!R14</x:f>
        <x:v>-5192.600000000002</x:v>
      </x:c>
      <x:c r="D41" s="175" t="n">
        <x:f>'Projection 24 mois'!I14</x:f>
        <x:v>2500</x:v>
      </x:c>
      <x:c r="E41" s="176" t="n">
        <x:f>'Projection 24 mois'!O14</x:f>
        <x:v>4164.120000000001</x:v>
      </x:c>
      <x:c r="F41" s="41"/>
      <x:c r="G41" s="41"/>
      <x:c r="H41" s="41"/>
      <x:c r="I41" s="41"/>
      <x:c r="J41" s="41"/>
    </x:row>
    <x:row r="42">
      <x:c r="B42" s="174" t="n">
        <x:f>'Projection 24 mois'!A15</x:f>
        <x:v>10</x:v>
      </x:c>
      <x:c r="C42" s="175" t="n">
        <x:f>'Projection 24 mois'!R15</x:f>
        <x:v>-7152.840000000003</x:v>
      </x:c>
      <x:c r="D42" s="175" t="n">
        <x:f>'Projection 24 mois'!I15</x:f>
        <x:v>3100</x:v>
      </x:c>
      <x:c r="E42" s="176" t="n">
        <x:f>'Projection 24 mois'!O15</x:f>
        <x:v>5060.240000000001</x:v>
      </x:c>
      <x:c r="F42" s="41"/>
      <x:c r="G42" s="41"/>
      <x:c r="H42" s="41"/>
      <x:c r="I42" s="41"/>
      <x:c r="J42" s="41"/>
    </x:row>
    <x:row r="43">
      <x:c r="B43" s="174" t="n">
        <x:f>'Projection 24 mois'!A16</x:f>
        <x:v>11</x:v>
      </x:c>
      <x:c r="C43" s="175" t="n">
        <x:f>'Projection 24 mois'!R16</x:f>
        <x:v>-9113.080000000004</x:v>
      </x:c>
      <x:c r="D43" s="175" t="n">
        <x:f>'Projection 24 mois'!I16</x:f>
        <x:v>3100</x:v>
      </x:c>
      <x:c r="E43" s="176" t="n">
        <x:f>'Projection 24 mois'!O16</x:f>
        <x:v>5060.240000000001</x:v>
      </x:c>
      <x:c r="F43" s="41"/>
      <x:c r="G43" s="41"/>
      <x:c r="H43" s="41"/>
      <x:c r="I43" s="41"/>
      <x:c r="J43" s="41"/>
    </x:row>
    <x:row r="44">
      <x:c r="B44" s="174" t="n">
        <x:f>'Projection 24 mois'!A17</x:f>
        <x:v>12</x:v>
      </x:c>
      <x:c r="C44" s="175" t="n">
        <x:f>'Projection 24 mois'!R17</x:f>
        <x:v>-8973.320000000003</x:v>
      </x:c>
      <x:c r="D44" s="175" t="n">
        <x:f>'Projection 24 mois'!I17</x:f>
        <x:v>5200</x:v>
      </x:c>
      <x:c r="E44" s="176" t="n">
        <x:f>'Projection 24 mois'!O17</x:f>
        <x:v>5060.240000000001</x:v>
      </x:c>
      <x:c r="F44" s="41"/>
      <x:c r="G44" s="41"/>
      <x:c r="H44" s="41"/>
      <x:c r="I44" s="41"/>
      <x:c r="J44" s="41"/>
    </x:row>
    <x:row r="45">
      <x:c r="B45" s="174" t="n">
        <x:f>'Projection 24 mois'!A18</x:f>
        <x:v>13</x:v>
      </x:c>
      <x:c r="C45" s="175" t="n">
        <x:f>'Projection 24 mois'!R18</x:f>
        <x:v>-8833.560000000005</x:v>
      </x:c>
      <x:c r="D45" s="175" t="n">
        <x:f>'Projection 24 mois'!I18</x:f>
        <x:v>5200</x:v>
      </x:c>
      <x:c r="E45" s="176" t="n">
        <x:f>'Projection 24 mois'!O18</x:f>
        <x:v>5060.240000000001</x:v>
      </x:c>
      <x:c r="F45" s="41"/>
      <x:c r="G45" s="41"/>
      <x:c r="H45" s="41"/>
      <x:c r="I45" s="41"/>
      <x:c r="J45" s="41"/>
    </x:row>
    <x:row r="46">
      <x:c r="B46" s="174" t="n">
        <x:f>'Projection 24 mois'!A19</x:f>
        <x:v>14</x:v>
      </x:c>
      <x:c r="C46" s="175" t="n">
        <x:f>'Projection 24 mois'!R19</x:f>
        <x:v>-8693.800000000007</x:v>
      </x:c>
      <x:c r="D46" s="175" t="n">
        <x:f>'Projection 24 mois'!I19</x:f>
        <x:v>5200</x:v>
      </x:c>
      <x:c r="E46" s="176" t="n">
        <x:f>'Projection 24 mois'!O19</x:f>
        <x:v>5060.240000000001</x:v>
      </x:c>
      <x:c r="F46" s="41"/>
      <x:c r="G46" s="41"/>
      <x:c r="H46" s="41"/>
      <x:c r="I46" s="41"/>
      <x:c r="J46" s="41"/>
    </x:row>
    <x:row r="47">
      <x:c r="B47" s="174" t="n">
        <x:f>'Projection 24 mois'!A20</x:f>
        <x:v>15</x:v>
      </x:c>
      <x:c r="C47" s="175" t="n">
        <x:f>'Projection 24 mois'!R20</x:f>
        <x:v>-7954.040000000007</x:v>
      </x:c>
      <x:c r="D47" s="175" t="n">
        <x:f>'Projection 24 mois'!I20</x:f>
        <x:v>5800</x:v>
      </x:c>
      <x:c r="E47" s="176" t="n">
        <x:f>'Projection 24 mois'!O20</x:f>
        <x:v>5060.240000000001</x:v>
      </x:c>
      <x:c r="F47" s="41"/>
      <x:c r="G47" s="41"/>
      <x:c r="H47" s="41"/>
      <x:c r="I47" s="41"/>
      <x:c r="J47" s="41"/>
    </x:row>
    <x:row r="48">
      <x:c r="B48" s="174" t="n">
        <x:f>'Projection 24 mois'!A21</x:f>
        <x:v>16</x:v>
      </x:c>
      <x:c r="C48" s="175" t="n">
        <x:f>'Projection 24 mois'!R21</x:f>
        <x:v>-7214.280000000008</x:v>
      </x:c>
      <x:c r="D48" s="175" t="n">
        <x:f>'Projection 24 mois'!I21</x:f>
        <x:v>5800</x:v>
      </x:c>
      <x:c r="E48" s="176" t="n">
        <x:f>'Projection 24 mois'!O21</x:f>
        <x:v>5060.240000000001</x:v>
      </x:c>
      <x:c r="F48" s="41"/>
      <x:c r="G48" s="41"/>
      <x:c r="H48" s="41"/>
      <x:c r="I48" s="41"/>
      <x:c r="J48" s="41"/>
    </x:row>
    <x:row r="49">
      <x:c r="B49" s="174" t="n">
        <x:f>'Projection 24 mois'!A22</x:f>
        <x:v>17</x:v>
      </x:c>
      <x:c r="C49" s="175" t="n">
        <x:f>'Projection 24 mois'!R22</x:f>
        <x:v>-6474.520000000009</x:v>
      </x:c>
      <x:c r="D49" s="175" t="n">
        <x:f>'Projection 24 mois'!I22</x:f>
        <x:v>5800</x:v>
      </x:c>
      <x:c r="E49" s="176" t="n">
        <x:f>'Projection 24 mois'!O22</x:f>
        <x:v>5060.240000000001</x:v>
      </x:c>
      <x:c r="F49" s="41"/>
      <x:c r="G49" s="41"/>
      <x:c r="H49" s="41"/>
      <x:c r="I49" s="41"/>
      <x:c r="J49" s="41"/>
    </x:row>
    <x:row r="50">
      <x:c r="B50" s="174" t="n">
        <x:f>'Projection 24 mois'!A23</x:f>
        <x:v>18</x:v>
      </x:c>
      <x:c r="C50" s="175" t="n">
        <x:f>'Projection 24 mois'!R23</x:f>
        <x:v>-5734.760000000009</x:v>
      </x:c>
      <x:c r="D50" s="175" t="n">
        <x:f>'Projection 24 mois'!I23</x:f>
        <x:v>5800</x:v>
      </x:c>
      <x:c r="E50" s="176" t="n">
        <x:f>'Projection 24 mois'!O23</x:f>
        <x:v>5060.240000000001</x:v>
      </x:c>
      <x:c r="F50" s="41"/>
      <x:c r="G50" s="41"/>
      <x:c r="H50" s="41"/>
      <x:c r="I50" s="41"/>
      <x:c r="J50" s="41"/>
    </x:row>
    <x:row r="51">
      <x:c r="B51" s="174" t="n">
        <x:f>'Projection 24 mois'!A24</x:f>
        <x:v>19</x:v>
      </x:c>
      <x:c r="C51" s="175" t="n">
        <x:f>'Projection 24 mois'!R24</x:f>
        <x:v>-4995.00000000001</x:v>
      </x:c>
      <x:c r="D51" s="175" t="n">
        <x:f>'Projection 24 mois'!I24</x:f>
        <x:v>5800</x:v>
      </x:c>
      <x:c r="E51" s="176" t="n">
        <x:f>'Projection 24 mois'!O24</x:f>
        <x:v>5060.240000000001</x:v>
      </x:c>
      <x:c r="F51" s="41"/>
      <x:c r="G51" s="41"/>
      <x:c r="H51" s="41"/>
      <x:c r="I51" s="41"/>
      <x:c r="J51" s="41"/>
    </x:row>
    <x:row r="52">
      <x:c r="B52" s="174" t="n">
        <x:f>'Projection 24 mois'!A25</x:f>
        <x:v>20</x:v>
      </x:c>
      <x:c r="C52" s="175" t="n">
        <x:f>'Projection 24 mois'!R25</x:f>
        <x:v>-4255.240000000011</x:v>
      </x:c>
      <x:c r="D52" s="175" t="n">
        <x:f>'Projection 24 mois'!I25</x:f>
        <x:v>5800</x:v>
      </x:c>
      <x:c r="E52" s="176" t="n">
        <x:f>'Projection 24 mois'!O25</x:f>
        <x:v>5060.240000000001</x:v>
      </x:c>
      <x:c r="F52" s="41"/>
      <x:c r="G52" s="41"/>
      <x:c r="H52" s="41"/>
      <x:c r="I52" s="41"/>
      <x:c r="J52" s="41"/>
    </x:row>
    <x:row r="53">
      <x:c r="B53" s="174" t="n">
        <x:f>'Projection 24 mois'!A26</x:f>
        <x:v>21</x:v>
      </x:c>
      <x:c r="C53" s="175" t="n">
        <x:f>'Projection 24 mois'!R26</x:f>
        <x:v>-3515.4800000000114</x:v>
      </x:c>
      <x:c r="D53" s="175" t="n">
        <x:f>'Projection 24 mois'!I26</x:f>
        <x:v>5800</x:v>
      </x:c>
      <x:c r="E53" s="176" t="n">
        <x:f>'Projection 24 mois'!O26</x:f>
        <x:v>5060.240000000001</x:v>
      </x:c>
      <x:c r="F53" s="41"/>
      <x:c r="G53" s="41"/>
      <x:c r="H53" s="41"/>
      <x:c r="I53" s="41"/>
      <x:c r="J53" s="41"/>
    </x:row>
    <x:row r="54">
      <x:c r="B54" s="174" t="n">
        <x:f>'Projection 24 mois'!A27</x:f>
        <x:v>22</x:v>
      </x:c>
      <x:c r="C54" s="175" t="n">
        <x:f>'Projection 24 mois'!R27</x:f>
        <x:v>-2775.720000000012</x:v>
      </x:c>
      <x:c r="D54" s="175" t="n">
        <x:f>'Projection 24 mois'!I27</x:f>
        <x:v>5800</x:v>
      </x:c>
      <x:c r="E54" s="176" t="n">
        <x:f>'Projection 24 mois'!O27</x:f>
        <x:v>5060.240000000001</x:v>
      </x:c>
      <x:c r="F54" s="41"/>
      <x:c r="G54" s="41"/>
      <x:c r="H54" s="41"/>
      <x:c r="I54" s="41"/>
      <x:c r="J54" s="41"/>
    </x:row>
    <x:row r="55">
      <x:c r="B55" s="174" t="n">
        <x:f>'Projection 24 mois'!A28</x:f>
        <x:v>23</x:v>
      </x:c>
      <x:c r="C55" s="175" t="n">
        <x:f>'Projection 24 mois'!R28</x:f>
        <x:v>-2035.9600000000128</x:v>
      </x:c>
      <x:c r="D55" s="175" t="n">
        <x:f>'Projection 24 mois'!I28</x:f>
        <x:v>5800</x:v>
      </x:c>
      <x:c r="E55" s="176" t="n">
        <x:f>'Projection 24 mois'!O28</x:f>
        <x:v>5060.240000000001</x:v>
      </x:c>
      <x:c r="F55" s="41"/>
      <x:c r="G55" s="41"/>
      <x:c r="H55" s="41"/>
      <x:c r="I55" s="41"/>
      <x:c r="J55" s="41"/>
    </x:row>
    <x:row r="56">
      <x:c r="B56" s="177" t="n">
        <x:f>'Projection 24 mois'!A29</x:f>
        <x:v>24</x:v>
      </x:c>
      <x:c r="C56" s="178" t="n">
        <x:f>'Projection 24 mois'!R29</x:f>
        <x:v>-1296.2000000000135</x:v>
      </x:c>
      <x:c r="D56" s="178" t="n">
        <x:f>'Projection 24 mois'!I29</x:f>
        <x:v>5800</x:v>
      </x:c>
      <x:c r="E56" s="179" t="n">
        <x:f>'Projection 24 mois'!O29</x:f>
        <x:v>5060.240000000001</x:v>
      </x:c>
      <x:c r="F56" s="41"/>
      <x:c r="G56" s="41"/>
      <x:c r="H56" s="41"/>
      <x:c r="I56" s="41"/>
      <x:c r="J56" s="41"/>
    </x:row>
  </x:sheetData>
  <x:mergeCells>
    <x:mergeCell ref="B2:J2"/>
    <x:mergeCell ref="B3:J3"/>
    <x:mergeCell ref="E5:J5"/>
    <x:mergeCell ref="E6:J9"/>
    <x:mergeCell ref="E11:J11"/>
    <x:mergeCell ref="E12:J16"/>
    <x:mergeCell ref="B18:J18"/>
  </x:mergeCells>
  <x:conditionalFormatting sqref="C16:C16">
    <x:cfRule type="cellIs" dxfId="2" priority="1" operator="notEqual">
      <x:formula>"OK"</x:formula>
    </x:cfRule>
  </x:conditionalFormatting>
  <x:pageMargins left="0.7" right="0.7" top="0.75" bottom="0.75" header="0.3" footer="0.3"/>
  <x:drawing xmlns:r="http://schemas.openxmlformats.org/officeDocument/2006/relationships" r:id="R411e0bbcb6614812"/>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2" max="2" width="34" hidden="0" customWidth="1"/>
    <x:col min="3" max="3" width="16" hidden="0" customWidth="1"/>
    <x:col min="4" max="4" width="17" hidden="0" customWidth="1"/>
    <x:col min="5" max="5" width="34" hidden="0" customWidth="1"/>
    <x:col min="6" max="6" width="12" hidden="0" customWidth="1"/>
    <x:col min="7" max="7" width="17" hidden="0" customWidth="1"/>
    <x:col min="8" max="8" width="17" hidden="0" customWidth="1"/>
    <x:col min="9" max="9" width="17" hidden="0" customWidth="1"/>
    <x:col min="10" max="10" width="15" hidden="0" customWidth="1"/>
  </x:cols>
  <x:sheetData>
    <x:row r="2" ht="30" customHeight="1">
      <x:c r="B2" s="3" t="str">
        <x:v>Projection financière Salverys — hypothèses</x:v>
      </x:c>
      <x:c r="C2" s="3" t="str">
        <x:v>Projection financière Salverys — hypothèses</x:v>
      </x:c>
      <x:c r="D2" s="3" t="str">
        <x:v>Projection financière Salverys — hypothèses</x:v>
      </x:c>
      <x:c r="E2" s="3" t="str">
        <x:v>Projection financière Salverys — hypothèses</x:v>
      </x:c>
      <x:c r="F2" s="3" t="str">
        <x:v>Projection financière Salverys — hypothèses</x:v>
      </x:c>
      <x:c r="G2" s="3" t="str">
        <x:v>Projection financière Salverys — hypothèses</x:v>
      </x:c>
      <x:c r="H2" s="3" t="str">
        <x:v>Projection financière Salverys — hypothèses</x:v>
      </x:c>
      <x:c r="I2" s="3" t="str">
        <x:v>Projection financière Salverys — hypothèses</x:v>
      </x:c>
      <x:c r="J2" s="3" t="str">
        <x:v>Projection financière Salverys — hypothèses</x:v>
      </x:c>
    </x:row>
    <x:row r="3">
      <x:c r="B3" s="51" t="str">
        <x:v>Modifier les cellules bleues. Les calculs sont en euros HT et utilisent des mois relatifs M1 à M24.</x:v>
      </x:c>
      <x:c r="C3" s="51"/>
      <x:c r="D3" s="51"/>
      <x:c r="E3" s="51"/>
      <x:c r="F3" s="51"/>
      <x:c r="G3" s="51"/>
      <x:c r="H3" s="51"/>
      <x:c r="I3" s="51"/>
      <x:c r="J3" s="51"/>
    </x:row>
    <x:row r="4">
      <x:c r="B4" s="41"/>
      <x:c r="C4" s="41"/>
      <x:c r="D4" s="41"/>
      <x:c r="E4" s="41"/>
      <x:c r="F4" s="41"/>
      <x:c r="G4" s="41"/>
      <x:c r="H4" s="41"/>
      <x:c r="I4" s="41"/>
      <x:c r="J4" s="41"/>
    </x:row>
    <x:row r="5" ht="22" customHeight="1">
      <x:c r="B5" s="180" t="str">
        <x:v>Pilotage du scénario</x:v>
      </x:c>
      <x:c r="C5" s="180" t="str">
        <x:v>Pilotage du scénario</x:v>
      </x:c>
      <x:c r="D5" s="180" t="str">
        <x:v>Pilotage du scénario</x:v>
      </x:c>
      <x:c r="E5" s="180" t="str">
        <x:v>Pilotage du scénario</x:v>
      </x:c>
      <x:c r="F5" s="180" t="str">
        <x:v>Pilotage du scénario</x:v>
      </x:c>
      <x:c r="G5" s="180" t="str">
        <x:v>Pilotage du scénario</x:v>
      </x:c>
      <x:c r="H5" s="180" t="str">
        <x:v>Pilotage du scénario</x:v>
      </x:c>
      <x:c r="I5" s="180" t="str">
        <x:v>Pilotage du scénario</x:v>
      </x:c>
      <x:c r="J5" s="180" t="str">
        <x:v>Pilotage du scénario</x:v>
      </x:c>
    </x:row>
    <x:row r="6">
      <x:c r="B6" s="41" t="str">
        <x:v>Scénario actif</x:v>
      </x:c>
      <x:c r="C6" s="43" t="str">
        <x:v>Médian</x:v>
      </x:c>
      <x:c r="D6" s="41"/>
      <x:c r="E6" s="41"/>
      <x:c r="F6" s="41"/>
      <x:c r="G6" s="41"/>
      <x:c r="H6" s="41"/>
      <x:c r="I6" s="41"/>
      <x:c r="J6" s="41"/>
    </x:row>
    <x:row r="7">
      <x:c r="B7" s="41"/>
      <x:c r="C7" s="41"/>
      <x:c r="D7" s="41"/>
      <x:c r="E7" s="41"/>
      <x:c r="F7" s="41"/>
      <x:c r="G7" s="41"/>
      <x:c r="H7" s="41"/>
      <x:c r="I7" s="41"/>
      <x:c r="J7" s="41"/>
    </x:row>
    <x:row r="8" ht="22" customHeight="1">
      <x:c r="B8" s="180" t="str">
        <x:v>Hypothèses modifiables</x:v>
      </x:c>
      <x:c r="C8" s="180" t="str">
        <x:v>Hypothèses modifiables</x:v>
      </x:c>
      <x:c r="D8" s="180" t="str">
        <x:v>Hypothèses modifiables</x:v>
      </x:c>
      <x:c r="E8" s="180" t="str">
        <x:v>Hypothèses modifiables</x:v>
      </x:c>
      <x:c r="F8" s="180" t="str">
        <x:v>Hypothèses modifiables</x:v>
      </x:c>
      <x:c r="G8" s="180" t="str">
        <x:v>Hypothèses modifiables</x:v>
      </x:c>
      <x:c r="H8" s="180" t="str">
        <x:v>Hypothèses modifiables</x:v>
      </x:c>
      <x:c r="I8" s="180" t="str">
        <x:v>Hypothèses modifiables</x:v>
      </x:c>
      <x:c r="J8" s="180" t="str">
        <x:v>Hypothèses modifiables</x:v>
      </x:c>
    </x:row>
    <x:row r="9">
      <x:c r="B9" s="58" t="str">
        <x:v>Trésorerie initiale</x:v>
      </x:c>
      <x:c r="C9" s="59" t="n">
        <x:v>0</x:v>
      </x:c>
      <x:c r="D9" s="60" t="str">
        <x:v>€</x:v>
      </x:c>
      <x:c r="E9" s="74" t="str">
        <x:v>À remplacer par le solde bancaire rapproché</x:v>
      </x:c>
      <x:c r="F9" s="41"/>
      <x:c r="G9" s="41"/>
      <x:c r="H9" s="41"/>
      <x:c r="I9" s="41"/>
      <x:c r="J9" s="41"/>
    </x:row>
    <x:row r="10">
      <x:c r="B10" s="62" t="str">
        <x:v>Taux de change</x:v>
      </x:c>
      <x:c r="C10" s="63" t="n">
        <x:v>5000</x:v>
      </x:c>
      <x:c r="D10" s="64" t="str">
        <x:v>Ar / €</x:v>
      </x:c>
      <x:c r="E10" s="75" t="str">
        <x:v>Convention de simulation</x:v>
      </x:c>
      <x:c r="F10" s="41"/>
      <x:c r="G10" s="41"/>
      <x:c r="H10" s="41"/>
      <x:c r="I10" s="41"/>
      <x:c r="J10" s="41"/>
    </x:row>
    <x:row r="11">
      <x:c r="B11" s="62" t="str">
        <x:v>Salaire brut mensuel futur</x:v>
      </x:c>
      <x:c r="C11" s="63" t="n">
        <x:v>3250000</x:v>
      </x:c>
      <x:c r="D11" s="64" t="str">
        <x:v>Ar</x:v>
      </x:c>
      <x:c r="E11" s="75" t="str">
        <x:v>Agent ou manager</x:v>
      </x:c>
      <x:c r="F11" s="41"/>
      <x:c r="G11" s="41"/>
      <x:c r="H11" s="41"/>
      <x:c r="I11" s="41"/>
      <x:c r="J11" s="41"/>
    </x:row>
    <x:row r="12">
      <x:c r="B12" s="62" t="str">
        <x:v>SME mensuel supposé</x:v>
      </x:c>
      <x:c r="C12" s="63" t="n">
        <x:v>300000</x:v>
      </x:c>
      <x:c r="D12" s="64" t="str">
        <x:v>Ar</x:v>
      </x:c>
      <x:c r="E12" s="75" t="str">
        <x:v>À confirmer</x:v>
      </x:c>
      <x:c r="F12" s="41"/>
      <x:c r="G12" s="41"/>
      <x:c r="H12" s="41"/>
      <x:c r="I12" s="41"/>
      <x:c r="J12" s="41"/>
    </x:row>
    <x:row r="13">
      <x:c r="B13" s="62" t="str">
        <x:v>Cotisations employeur</x:v>
      </x:c>
      <x:c r="C13" s="66" t="n">
        <x:v>0.18</x:v>
      </x:c>
      <x:c r="D13" s="64" t="str">
        <x:v>%</x:v>
      </x:c>
      <x:c r="E13" s="75" t="str">
        <x:v>Sur le brut plafonné à 8 × SME</x:v>
      </x:c>
      <x:c r="F13" s="41"/>
      <x:c r="G13" s="41"/>
      <x:c r="H13" s="41"/>
      <x:c r="I13" s="41"/>
      <x:c r="J13" s="41"/>
    </x:row>
    <x:row r="14">
      <x:c r="B14" s="62" t="str">
        <x:v>VoIP par agent</x:v>
      </x:c>
      <x:c r="C14" s="50" t="n">
        <x:v>30</x:v>
      </x:c>
      <x:c r="D14" s="64" t="str">
        <x:v>€ / mois</x:v>
      </x:c>
      <x:c r="E14" s="75" t="str">
        <x:v>Devis à obtenir</x:v>
      </x:c>
      <x:c r="F14" s="41"/>
      <x:c r="G14" s="41"/>
      <x:c r="H14" s="41"/>
      <x:c r="I14" s="41"/>
      <x:c r="J14" s="41"/>
    </x:row>
    <x:row r="15">
      <x:c r="B15" s="62" t="str">
        <x:v>Réserve sur salaire et VoIP</x:v>
      </x:c>
      <x:c r="C15" s="66" t="n">
        <x:v>0.1</x:v>
      </x:c>
      <x:c r="D15" s="64" t="str">
        <x:v>%</x:v>
      </x:c>
      <x:c r="E15" s="75" t="str">
        <x:v>Coussin prudentiel</x:v>
      </x:c>
      <x:c r="F15" s="41"/>
      <x:c r="G15" s="41"/>
      <x:c r="H15" s="41"/>
      <x:c r="I15" s="41"/>
      <x:c r="J15" s="41"/>
    </x:row>
    <x:row r="16">
      <x:c r="B16" s="62" t="str">
        <x:v>Outils récurrents connus</x:v>
      </x:c>
      <x:c r="C16" s="50" t="n">
        <x:v>68</x:v>
      </x:c>
      <x:c r="D16" s="64" t="str">
        <x:v>€ / mois</x:v>
      </x:c>
      <x:c r="E16" s="75" t="str">
        <x:v>65 €/mois + 36 €/an de domaines</x:v>
      </x:c>
      <x:c r="F16" s="41"/>
      <x:c r="G16" s="41"/>
      <x:c r="H16" s="41"/>
      <x:c r="I16" s="41"/>
      <x:c r="J16" s="41"/>
    </x:row>
    <x:row r="17">
      <x:c r="B17" s="62" t="str">
        <x:v>Onboarding par contrat</x:v>
      </x:c>
      <x:c r="C17" s="50" t="n">
        <x:v>1600</x:v>
      </x:c>
      <x:c r="D17" s="64" t="str">
        <x:v>€</x:v>
      </x:c>
      <x:c r="E17" s="75" t="str">
        <x:v>Ordre de grandeur à documenter</x:v>
      </x:c>
      <x:c r="F17" s="41"/>
      <x:c r="G17" s="41"/>
      <x:c r="H17" s="41"/>
      <x:c r="I17" s="41"/>
      <x:c r="J17" s="41"/>
    </x:row>
    <x:row r="18">
      <x:c r="B18" s="62" t="str">
        <x:v>Dépôt par position</x:v>
      </x:c>
      <x:c r="C18" s="50" t="n">
        <x:v>900</x:v>
      </x:c>
      <x:c r="D18" s="64" t="str">
        <x:v>€</x:v>
      </x:c>
      <x:c r="E18" s="75" t="str">
        <x:v>Modèle B</x:v>
      </x:c>
      <x:c r="F18" s="41"/>
      <x:c r="G18" s="41"/>
      <x:c r="H18" s="41"/>
      <x:c r="I18" s="41"/>
      <x:c r="J18" s="41"/>
    </x:row>
    <x:row r="19">
      <x:c r="B19" s="62" t="str">
        <x:v>Crédit par position sur 3 factures</x:v>
      </x:c>
      <x:c r="C19" s="50" t="n">
        <x:v>300</x:v>
      </x:c>
      <x:c r="D19" s="64" t="str">
        <x:v>€</x:v>
      </x:c>
      <x:c r="E19" s="75" t="str">
        <x:v>Imputation totale du dépôt</x:v>
      </x:c>
      <x:c r="F19" s="41"/>
      <x:c r="G19" s="41"/>
      <x:c r="H19" s="41"/>
      <x:c r="I19" s="41"/>
      <x:c r="J19" s="41"/>
    </x:row>
    <x:row r="20">
      <x:c r="B20" s="62" t="str">
        <x:v>Première facture après signature</x:v>
      </x:c>
      <x:c r="C20" s="67" t="n">
        <x:v>2</x:v>
      </x:c>
      <x:c r="D20" s="64" t="str">
        <x:v>mois</x:v>
      </x:c>
      <x:c r="E20" s="75" t="str">
        <x:v>M+2</x:v>
      </x:c>
      <x:c r="F20" s="41"/>
      <x:c r="G20" s="41"/>
      <x:c r="H20" s="41"/>
      <x:c r="I20" s="41"/>
      <x:c r="J20" s="41"/>
    </x:row>
    <x:row r="21">
      <x:c r="B21" s="62" t="str">
        <x:v>Délai d'encaissement</x:v>
      </x:c>
      <x:c r="C21" s="67" t="n">
        <x:v>1</x:v>
      </x:c>
      <x:c r="D21" s="64" t="str">
        <x:v>mois</x:v>
      </x:c>
      <x:c r="E21" s="75" t="str">
        <x:v>Après facturation</x:v>
      </x:c>
      <x:c r="F21" s="41"/>
      <x:c r="G21" s="41"/>
      <x:c r="H21" s="41"/>
      <x:c r="I21" s="41"/>
      <x:c r="J21" s="41"/>
    </x:row>
    <x:row r="22">
      <x:c r="B22" s="62" t="str">
        <x:v>Embauche après signature</x:v>
      </x:c>
      <x:c r="C22" s="67" t="n">
        <x:v>1</x:v>
      </x:c>
      <x:c r="D22" s="64" t="str">
        <x:v>mois</x:v>
      </x:c>
      <x:c r="E22" s="75" t="str">
        <x:v>M+1</x:v>
      </x:c>
      <x:c r="F22" s="41"/>
      <x:c r="G22" s="41"/>
      <x:c r="H22" s="41"/>
      <x:c r="I22" s="41"/>
      <x:c r="J22" s="41"/>
    </x:row>
    <x:row r="23">
      <x:c r="B23" s="68" t="str">
        <x:v>Capacité d'un manager</x:v>
      </x:c>
      <x:c r="C23" s="69" t="n">
        <x:v>8</x:v>
      </x:c>
      <x:c r="D23" s="70" t="str">
        <x:v>agents / métier</x:v>
      </x:c>
      <x:c r="E23" s="76" t="str">
        <x:v>Manager supplémentaire par tranche</x:v>
      </x:c>
      <x:c r="F23" s="41"/>
      <x:c r="G23" s="41"/>
      <x:c r="H23" s="41"/>
      <x:c r="I23" s="41"/>
      <x:c r="J23" s="41"/>
    </x:row>
    <x:row r="24">
      <x:c r="B24" s="41"/>
      <x:c r="C24" s="41"/>
      <x:c r="D24" s="41"/>
      <x:c r="E24" s="41"/>
      <x:c r="F24" s="41"/>
      <x:c r="G24" s="41"/>
      <x:c r="H24" s="41"/>
      <x:c r="I24" s="41"/>
      <x:c r="J24" s="41"/>
    </x:row>
    <x:row r="25" ht="22" customHeight="1">
      <x:c r="B25" s="180" t="str">
        <x:v>Coûts mensuels calculés</x:v>
      </x:c>
      <x:c r="C25" s="180" t="str">
        <x:v>Coûts mensuels calculés</x:v>
      </x:c>
      <x:c r="D25" s="180" t="str">
        <x:v>Coûts mensuels calculés</x:v>
      </x:c>
      <x:c r="E25" s="180" t="str">
        <x:v>Coûts mensuels calculés</x:v>
      </x:c>
      <x:c r="F25" s="180" t="str">
        <x:v>Coûts mensuels calculés</x:v>
      </x:c>
      <x:c r="G25" s="180" t="str">
        <x:v>Coûts mensuels calculés</x:v>
      </x:c>
      <x:c r="H25" s="180" t="str">
        <x:v>Coûts mensuels calculés</x:v>
      </x:c>
      <x:c r="I25" s="180" t="str">
        <x:v>Coûts mensuels calculés</x:v>
      </x:c>
      <x:c r="J25" s="180" t="str">
        <x:v>Coûts mensuels calculés</x:v>
      </x:c>
    </x:row>
    <x:row r="26">
      <x:c r="B26" s="41" t="str">
        <x:v>Salaire chargé par personne</x:v>
      </x:c>
      <x:c r="C26" s="48" t="n">
        <x:f>(C11+MIN(C11,8*C12)*C13)/C10</x:f>
        <x:v>736.4</x:v>
      </x:c>
      <x:c r="D26" s="40" t="str">
        <x:v>Brut + cotisations, converti en euros</x:v>
      </x:c>
      <x:c r="E26" s="41"/>
      <x:c r="F26" s="41"/>
      <x:c r="G26" s="41"/>
      <x:c r="H26" s="41"/>
      <x:c r="I26" s="41"/>
      <x:c r="J26" s="41"/>
    </x:row>
    <x:row r="27">
      <x:c r="B27" s="41" t="str">
        <x:v>Coût prudent d'un agent</x:v>
      </x:c>
      <x:c r="C27" s="48" t="n">
        <x:f>(C26+C14)*(1+C15)</x:f>
        <x:v>843.0400000000001</x:v>
      </x:c>
      <x:c r="D27" s="40" t="str">
        <x:v>Salaire chargé + VoIP + réserve</x:v>
      </x:c>
      <x:c r="E27" s="41"/>
      <x:c r="F27" s="41"/>
      <x:c r="G27" s="41"/>
      <x:c r="H27" s="41"/>
      <x:c r="I27" s="41"/>
      <x:c r="J27" s="41"/>
    </x:row>
    <x:row r="28">
      <x:c r="B28" s="41" t="str">
        <x:v>Coût prudent d'un manager</x:v>
      </x:c>
      <x:c r="C28" s="48" t="n">
        <x:f>C26*(1+C15)</x:f>
        <x:v>810.0400000000001</x:v>
      </x:c>
      <x:c r="D28" s="40" t="str">
        <x:v>Salaire chargé + réserve</x:v>
      </x:c>
      <x:c r="E28" s="41"/>
      <x:c r="F28" s="41"/>
      <x:c r="G28" s="41"/>
      <x:c r="H28" s="41"/>
      <x:c r="I28" s="41"/>
      <x:c r="J28" s="41"/>
    </x:row>
    <x:row r="29">
      <x:c r="B29" s="41"/>
      <x:c r="C29" s="41"/>
      <x:c r="D29" s="41"/>
      <x:c r="E29" s="41"/>
      <x:c r="F29" s="41"/>
      <x:c r="G29" s="41"/>
      <x:c r="H29" s="41"/>
      <x:c r="I29" s="41"/>
      <x:c r="J29" s="41"/>
    </x:row>
    <x:row r="30" ht="22" customHeight="1">
      <x:c r="B30" s="180" t="str">
        <x:v>Tarifs par défaut — modifiables</x:v>
      </x:c>
      <x:c r="C30" s="180" t="str">
        <x:v>Tarifs par défaut — modifiables</x:v>
      </x:c>
      <x:c r="D30" s="180" t="str">
        <x:v>Tarifs par défaut — modifiables</x:v>
      </x:c>
      <x:c r="E30" s="180" t="str">
        <x:v>Tarifs par défaut — modifiables</x:v>
      </x:c>
      <x:c r="F30" s="180" t="str">
        <x:v>Tarifs par défaut — modifiables</x:v>
      </x:c>
      <x:c r="G30" s="180" t="str">
        <x:v>Tarifs par défaut — modifiables</x:v>
      </x:c>
      <x:c r="H30" s="180" t="str">
        <x:v>Tarifs par défaut — modifiables</x:v>
      </x:c>
      <x:c r="I30" s="180" t="str">
        <x:v>Tarifs par défaut — modifiables</x:v>
      </x:c>
      <x:c r="J30" s="180" t="str">
        <x:v>Tarifs par défaut — modifiables</x:v>
      </x:c>
    </x:row>
    <x:row r="31">
      <x:c r="B31" s="184" t="str">
        <x:v>Métier</x:v>
      </x:c>
      <x:c r="C31" s="184" t="str">
        <x:v>Client final</x:v>
      </x:c>
      <x:c r="D31" s="184" t="str">
        <x:v>Client MB</x:v>
      </x:c>
      <x:c r="E31" s="184" t="str">
        <x:v>Statut</x:v>
      </x:c>
      <x:c r="F31" s="41"/>
      <x:c r="G31" s="41"/>
      <x:c r="H31" s="41"/>
      <x:c r="I31" s="41"/>
      <x:c r="J31" s="41"/>
    </x:row>
    <x:row r="32">
      <x:c r="B32" s="49" t="str">
        <x:v>Helpdesk</x:v>
      </x:c>
      <x:c r="C32" s="50" t="n">
        <x:v>2000</x:v>
      </x:c>
      <x:c r="D32" s="50" t="n">
        <x:v>1550</x:v>
      </x:c>
      <x:c r="E32" s="49" t="str">
        <x:v>Final confirmé ; MB à confirmer</x:v>
      </x:c>
      <x:c r="F32" s="41"/>
      <x:c r="G32" s="41"/>
      <x:c r="H32" s="41"/>
      <x:c r="I32" s="41"/>
      <x:c r="J32" s="41"/>
    </x:row>
    <x:row r="33">
      <x:c r="B33" s="49" t="str">
        <x:v>Support</x:v>
      </x:c>
      <x:c r="C33" s="50" t="n">
        <x:v>1700</x:v>
      </x:c>
      <x:c r="D33" s="50" t="n">
        <x:v>1350</x:v>
      </x:c>
      <x:c r="E33" s="49" t="str">
        <x:v>Final confirmé ; MB à confirmer</x:v>
      </x:c>
      <x:c r="F33" s="41"/>
      <x:c r="G33" s="41"/>
      <x:c r="H33" s="41"/>
      <x:c r="I33" s="41"/>
      <x:c r="J33" s="41"/>
    </x:row>
    <x:row r="34">
      <x:c r="B34" s="51" t="str">
        <x:v>Les scénarios préchargés utilisent Client MB. Les montants MB de 1 550 € / 1 350 € sont des hypothèses modifiables issues de l'ancienne grille basse ; à remplacer par la grille commerciale validée.</x:v>
      </x:c>
      <x:c r="C34" s="51"/>
      <x:c r="D34" s="51"/>
      <x:c r="E34" s="51"/>
      <x:c r="F34" s="51"/>
      <x:c r="G34" s="51"/>
      <x:c r="H34" s="51"/>
      <x:c r="I34" s="51"/>
      <x:c r="J34" s="51"/>
    </x:row>
    <x:row r="35">
      <x:c r="B35" s="41"/>
      <x:c r="C35" s="41"/>
      <x:c r="D35" s="41"/>
      <x:c r="E35" s="41"/>
      <x:c r="F35" s="41"/>
      <x:c r="G35" s="41"/>
      <x:c r="H35" s="41"/>
      <x:c r="I35" s="41"/>
      <x:c r="J35" s="41"/>
    </x:row>
    <x:row r="36" ht="22" customHeight="1">
      <x:c r="B36" s="180" t="str">
        <x:v>Contrats hypothétiques par scénario</x:v>
      </x:c>
      <x:c r="C36" s="180" t="str">
        <x:v>Contrats hypothétiques par scénario</x:v>
      </x:c>
      <x:c r="D36" s="180" t="str">
        <x:v>Contrats hypothétiques par scénario</x:v>
      </x:c>
      <x:c r="E36" s="180" t="str">
        <x:v>Contrats hypothétiques par scénario</x:v>
      </x:c>
      <x:c r="F36" s="180" t="str">
        <x:v>Contrats hypothétiques par scénario</x:v>
      </x:c>
      <x:c r="G36" s="180" t="str">
        <x:v>Contrats hypothétiques par scénario</x:v>
      </x:c>
      <x:c r="H36" s="180" t="str">
        <x:v>Contrats hypothétiques par scénario</x:v>
      </x:c>
      <x:c r="I36" s="180" t="str">
        <x:v>Contrats hypothétiques par scénario</x:v>
      </x:c>
      <x:c r="J36" s="180" t="str">
        <x:v>Contrats hypothétiques par scénario</x:v>
      </x:c>
    </x:row>
    <x:row r="37">
      <x:c r="B37" s="184" t="str">
        <x:v>Scénario</x:v>
      </x:c>
      <x:c r="C37" s="184" t="str">
        <x:v>Contrat</x:v>
      </x:c>
      <x:c r="D37" s="184" t="str">
        <x:v>Mois signature</x:v>
      </x:c>
      <x:c r="E37" s="184" t="str">
        <x:v>Métier</x:v>
      </x:c>
      <x:c r="F37" s="184" t="str">
        <x:v>Positions</x:v>
      </x:c>
      <x:c r="G37" s="184" t="str">
        <x:v>Mode tarifaire</x:v>
      </x:c>
      <x:c r="H37" s="184" t="str">
        <x:v>Tarif personnalisé</x:v>
      </x:c>
      <x:c r="I37" s="184" t="str">
        <x:v>Tarif appliqué</x:v>
      </x:c>
      <x:c r="J37" s="184" t="str">
        <x:v>Contrôle</x:v>
      </x:c>
    </x:row>
    <x:row r="38">
      <x:c r="B38" s="72" t="str">
        <x:v>Prudent</x:v>
      </x:c>
      <x:c r="C38" s="72" t="str">
        <x:v>P1</x:v>
      </x:c>
      <x:c r="D38" s="67" t="n">
        <x:v>4</x:v>
      </x:c>
      <x:c r="E38" s="72" t="str">
        <x:v>Helpdesk</x:v>
      </x:c>
      <x:c r="F38" s="67" t="n">
        <x:v>1</x:v>
      </x:c>
      <x:c r="G38" s="72" t="str">
        <x:v>Client MB</x:v>
      </x:c>
      <x:c r="H38" s="50"/>
      <x:c r="I38" s="73" t="n">
        <x:f>IF(G38="Personnalisé",IF(H38="",0,H38),IF(G38="Client final",IF(E38="Helpdesk",$C$32,$C$33),IF(E38="Helpdesk",$D$32,$D$33)))</x:f>
        <x:v>1550</x:v>
      </x:c>
      <x:c r="J38" s="49" t="str">
        <x:f>IF(G38="Personnalisé",IF(H38="","Tarif requis","OK"),"OK")</x:f>
        <x:v>OK</x:v>
      </x:c>
    </x:row>
    <x:row r="39">
      <x:c r="B39" s="72" t="str">
        <x:v>Médian</x:v>
      </x:c>
      <x:c r="C39" s="72" t="str">
        <x:v>M1</x:v>
      </x:c>
      <x:c r="D39" s="67" t="n">
        <x:v>4</x:v>
      </x:c>
      <x:c r="E39" s="72" t="str">
        <x:v>Helpdesk</x:v>
      </x:c>
      <x:c r="F39" s="67" t="n">
        <x:v>2</x:v>
      </x:c>
      <x:c r="G39" s="72" t="str">
        <x:v>Client MB</x:v>
      </x:c>
      <x:c r="H39" s="50"/>
      <x:c r="I39" s="73" t="n">
        <x:f>IF(G39="Personnalisé",IF(H39="",0,H39),IF(G39="Client final",IF(E39="Helpdesk",$C$32,$C$33),IF(E39="Helpdesk",$D$32,$D$33)))</x:f>
        <x:v>1550</x:v>
      </x:c>
      <x:c r="J39" s="49" t="str">
        <x:f>IF(G39="Personnalisé",IF(H39="","Tarif requis","OK"),"OK")</x:f>
        <x:v>OK</x:v>
      </x:c>
    </x:row>
    <x:row r="40">
      <x:c r="B40" s="72" t="str">
        <x:v>Médian</x:v>
      </x:c>
      <x:c r="C40" s="72" t="str">
        <x:v>M2</x:v>
      </x:c>
      <x:c r="D40" s="67" t="n">
        <x:v>9</x:v>
      </x:c>
      <x:c r="E40" s="72" t="str">
        <x:v>Support</x:v>
      </x:c>
      <x:c r="F40" s="67" t="n">
        <x:v>2</x:v>
      </x:c>
      <x:c r="G40" s="72" t="str">
        <x:v>Client MB</x:v>
      </x:c>
      <x:c r="H40" s="50"/>
      <x:c r="I40" s="73" t="n">
        <x:f>IF(G40="Personnalisé",IF(H40="",0,H40),IF(G40="Client final",IF(E40="Helpdesk",$C$32,$C$33),IF(E40="Helpdesk",$D$32,$D$33)))</x:f>
        <x:v>1350</x:v>
      </x:c>
      <x:c r="J40" s="49" t="str">
        <x:f>IF(G40="Personnalisé",IF(H40="","Tarif requis","OK"),"OK")</x:f>
        <x:v>OK</x:v>
      </x:c>
    </x:row>
    <x:row r="41">
      <x:c r="B41" s="72" t="str">
        <x:v>Expansion</x:v>
      </x:c>
      <x:c r="C41" s="72" t="str">
        <x:v>E1</x:v>
      </x:c>
      <x:c r="D41" s="67" t="n">
        <x:v>3</x:v>
      </x:c>
      <x:c r="E41" s="72" t="str">
        <x:v>Helpdesk</x:v>
      </x:c>
      <x:c r="F41" s="67" t="n">
        <x:v>3</x:v>
      </x:c>
      <x:c r="G41" s="72" t="str">
        <x:v>Client MB</x:v>
      </x:c>
      <x:c r="H41" s="50"/>
      <x:c r="I41" s="73" t="n">
        <x:f>IF(G41="Personnalisé",IF(H41="",0,H41),IF(G41="Client final",IF(E41="Helpdesk",$C$32,$C$33),IF(E41="Helpdesk",$D$32,$D$33)))</x:f>
        <x:v>1550</x:v>
      </x:c>
      <x:c r="J41" s="49" t="str">
        <x:f>IF(G41="Personnalisé",IF(H41="","Tarif requis","OK"),"OK")</x:f>
        <x:v>OK</x:v>
      </x:c>
    </x:row>
    <x:row r="42">
      <x:c r="B42" s="72" t="str">
        <x:v>Expansion</x:v>
      </x:c>
      <x:c r="C42" s="72" t="str">
        <x:v>E2</x:v>
      </x:c>
      <x:c r="D42" s="67" t="n">
        <x:v>7</x:v>
      </x:c>
      <x:c r="E42" s="72" t="str">
        <x:v>Support</x:v>
      </x:c>
      <x:c r="F42" s="67" t="n">
        <x:v>3</x:v>
      </x:c>
      <x:c r="G42" s="72" t="str">
        <x:v>Client MB</x:v>
      </x:c>
      <x:c r="H42" s="50"/>
      <x:c r="I42" s="73" t="n">
        <x:f>IF(G42="Personnalisé",IF(H42="",0,H42),IF(G42="Client final",IF(E42="Helpdesk",$C$32,$C$33),IF(E42="Helpdesk",$D$32,$D$33)))</x:f>
        <x:v>1350</x:v>
      </x:c>
      <x:c r="J42" s="49" t="str">
        <x:f>IF(G42="Personnalisé",IF(H42="","Tarif requis","OK"),"OK")</x:f>
        <x:v>OK</x:v>
      </x:c>
    </x:row>
    <x:row r="43">
      <x:c r="B43" s="72" t="str">
        <x:v>Expansion</x:v>
      </x:c>
      <x:c r="C43" s="72" t="str">
        <x:v>E3</x:v>
      </x:c>
      <x:c r="D43" s="67" t="n">
        <x:v>10</x:v>
      </x:c>
      <x:c r="E43" s="72" t="str">
        <x:v>Helpdesk</x:v>
      </x:c>
      <x:c r="F43" s="67" t="n">
        <x:v>3</x:v>
      </x:c>
      <x:c r="G43" s="72" t="str">
        <x:v>Client MB</x:v>
      </x:c>
      <x:c r="H43" s="50"/>
      <x:c r="I43" s="73" t="n">
        <x:f>IF(G43="Personnalisé",IF(H43="",0,H43),IF(G43="Client final",IF(E43="Helpdesk",$C$32,$C$33),IF(E43="Helpdesk",$D$32,$D$33)))</x:f>
        <x:v>1550</x:v>
      </x:c>
      <x:c r="J43" s="49" t="str">
        <x:f>IF(G43="Personnalisé",IF(H43="","Tarif requis","OK"),"OK")</x:f>
        <x:v>OK</x:v>
      </x:c>
    </x:row>
    <x:row r="44">
      <x:c r="B44" s="41"/>
      <x:c r="C44" s="41"/>
      <x:c r="D44" s="41"/>
      <x:c r="E44" s="41"/>
      <x:c r="F44" s="41"/>
      <x:c r="G44" s="41"/>
      <x:c r="H44" s="41"/>
      <x:c r="I44" s="41"/>
      <x:c r="J44" s="41"/>
    </x:row>
    <x:row r="45">
      <x:c r="B45" s="40" t="str">
        <x:v>Sources internes : FINANCE-PREVISIONNEL.md et REGISTRE-COUTS-OUTILS.md. Tarifs client final confirmés par le fondateur le 2026-09-17 ; tarifs MB à confirmer.</x:v>
      </x:c>
      <x:c r="C45" s="40"/>
      <x:c r="D45" s="40"/>
      <x:c r="E45" s="40"/>
      <x:c r="F45" s="40"/>
      <x:c r="G45" s="40"/>
      <x:c r="H45" s="40"/>
      <x:c r="I45" s="40"/>
      <x:c r="J45" s="40"/>
    </x:row>
    <x:row r="46">
      <x:c r="B46" s="41"/>
      <x:c r="C46" s="41"/>
      <x:c r="D46" s="41"/>
      <x:c r="E46" s="41"/>
      <x:c r="F46" s="41"/>
      <x:c r="G46" s="41"/>
      <x:c r="H46" s="41"/>
      <x:c r="I46" s="41"/>
      <x:c r="J46" s="41"/>
    </x:row>
    <x:row r="47" ht="22" customHeight="1">
      <x:c r="B47" s="180" t="str">
        <x:v>Faits historiques exclus du cash futur</x:v>
      </x:c>
      <x:c r="C47" s="180" t="str">
        <x:v>Faits historiques exclus du cash futur</x:v>
      </x:c>
      <x:c r="D47" s="180" t="str">
        <x:v>Faits historiques exclus du cash futur</x:v>
      </x:c>
      <x:c r="E47" s="180" t="str">
        <x:v>Faits historiques exclus du cash futur</x:v>
      </x:c>
      <x:c r="F47" s="180" t="str">
        <x:v>Faits historiques exclus du cash futur</x:v>
      </x:c>
      <x:c r="G47" s="180" t="str">
        <x:v>Faits historiques exclus du cash futur</x:v>
      </x:c>
      <x:c r="H47" s="180" t="str">
        <x:v>Faits historiques exclus du cash futur</x:v>
      </x:c>
      <x:c r="I47" s="180" t="str">
        <x:v>Faits historiques exclus du cash futur</x:v>
      </x:c>
      <x:c r="J47" s="180" t="str">
        <x:v>Faits historiques exclus du cash futur</x:v>
      </x:c>
    </x:row>
    <x:row r="48">
      <x:c r="B48" s="41" t="str">
        <x:v>Ancienne commerciale</x:v>
      </x:c>
      <x:c r="C48" s="53" t="n">
        <x:v>2800000</x:v>
      </x:c>
      <x:c r="D48" s="41" t="str">
        <x:v>Ar net / mois</x:v>
      </x:c>
      <x:c r="E48" s="41" t="str">
        <x:v>Contrat terminé fin août 2026</x:v>
      </x:c>
      <x:c r="F48" s="41"/>
      <x:c r="G48" s="41"/>
      <x:c r="H48" s="41"/>
      <x:c r="I48" s="41"/>
      <x:c r="J48" s="41"/>
    </x:row>
    <x:row r="49">
      <x:c r="B49" s="41" t="str">
        <x:v>Rupture du contrat commercial</x:v>
      </x:c>
      <x:c r="C49" s="53" t="n">
        <x:v>1000000</x:v>
      </x:c>
      <x:c r="D49" s="41" t="str">
        <x:v>Ar</x:v>
      </x:c>
      <x:c r="E49" s="41" t="str">
        <x:v>Déjà payée, ne pas déduire une seconde fois</x:v>
      </x:c>
      <x:c r="F49" s="41"/>
      <x:c r="G49" s="41"/>
      <x:c r="H49" s="41"/>
      <x:c r="I49" s="41"/>
      <x:c r="J49" s="41"/>
    </x:row>
  </x:sheetData>
  <x:mergeCells>
    <x:mergeCell ref="B2:J2"/>
    <x:mergeCell ref="B3:J3"/>
    <x:mergeCell ref="B5:J5"/>
    <x:mergeCell ref="B8:J8"/>
    <x:mergeCell ref="B25:J25"/>
    <x:mergeCell ref="B30:J30"/>
    <x:mergeCell ref="B34:J34"/>
    <x:mergeCell ref="B36:J36"/>
    <x:mergeCell ref="B45:J45"/>
    <x:mergeCell ref="B47:J47"/>
  </x:mergeCells>
  <x:conditionalFormatting sqref="J38:J43">
    <x:cfRule type="cellIs" dxfId="0" priority="1" operator="notEqual">
      <x:formula>"OK"</x:formula>
    </x:cfRule>
  </x:conditionalFormatting>
  <x:dataValidations count="3">
    <x:dataValidation type="list" sqref="C6">
      <x:formula1>"Attente,Prudent,Médian,Expansion"</x:formula1>
    </x:dataValidation>
    <x:dataValidation type="list" sqref="E38:E43">
      <x:formula1>"Helpdesk,Support"</x:formula1>
    </x:dataValidation>
    <x:dataValidation type="list" sqref="G38:G43">
      <x:formula1>"Client final,Client MB,Personnalisé"</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s>
  <x:sheetData>
    <x:row r="2" ht="30" customHeight="1">
      <x:c r="A2" s="3" t="str">
        <x:v>Projection de trésorerie — 24 mois</x:v>
      </x:c>
      <x:c r="B2" s="3" t="str">
        <x:v>Projection de trésorerie — 24 mois</x:v>
      </x:c>
      <x:c r="C2" s="3" t="str">
        <x:v>Projection de trésorerie — 24 mois</x:v>
      </x:c>
      <x:c r="D2" s="3" t="str">
        <x:v>Projection de trésorerie — 24 mois</x:v>
      </x:c>
      <x:c r="E2" s="3" t="str">
        <x:v>Projection de trésorerie — 24 mois</x:v>
      </x:c>
      <x:c r="F2" s="3" t="str">
        <x:v>Projection de trésorerie — 24 mois</x:v>
      </x:c>
      <x:c r="G2" s="3" t="str">
        <x:v>Projection de trésorerie — 24 mois</x:v>
      </x:c>
      <x:c r="H2" s="3" t="str">
        <x:v>Projection de trésorerie — 24 mois</x:v>
      </x:c>
      <x:c r="I2" s="3" t="str">
        <x:v>Projection de trésorerie — 24 mois</x:v>
      </x:c>
      <x:c r="J2" s="3" t="str">
        <x:v>Projection de trésorerie — 24 mois</x:v>
      </x:c>
      <x:c r="K2" s="3" t="str">
        <x:v>Projection de trésorerie — 24 mois</x:v>
      </x:c>
      <x:c r="L2" s="3" t="str">
        <x:v>Projection de trésorerie — 24 mois</x:v>
      </x:c>
      <x:c r="M2" s="3" t="str">
        <x:v>Projection de trésorerie — 24 mois</x:v>
      </x:c>
      <x:c r="N2" s="3" t="str">
        <x:v>Projection de trésorerie — 24 mois</x:v>
      </x:c>
      <x:c r="O2" s="3" t="str">
        <x:v>Projection de trésorerie — 24 mois</x:v>
      </x:c>
      <x:c r="P2" s="3" t="str">
        <x:v>Projection de trésorerie — 24 mois</x:v>
      </x:c>
      <x:c r="Q2" s="3" t="str">
        <x:v>Projection de trésorerie — 24 mois</x:v>
      </x:c>
      <x:c r="R2" s="3" t="str">
        <x:v>Projection de trésorerie — 24 mois</x:v>
      </x:c>
      <x:c r="S2" s="3" t="str">
        <x:v>Projection de trésorerie — 24 mois</x:v>
      </x:c>
    </x:row>
    <x:row r="3">
      <x:c r="A3" s="40" t="str">
        <x:f>"Scénario actif : "&amp;'Hypothèses'!C6&amp;" | euros HT | mois relatifs"</x:f>
        <x:v>Scénario actif : Médian | euros HT | mois relatifs</x:v>
      </x:c>
      <x:c r="B3" s="40"/>
      <x:c r="C3" s="40"/>
      <x:c r="D3" s="40"/>
      <x:c r="E3" s="40"/>
      <x:c r="F3" s="40"/>
      <x:c r="G3" s="40"/>
      <x:c r="H3" s="40"/>
      <x:c r="I3" s="40"/>
      <x:c r="J3" s="40"/>
      <x:c r="K3" s="40"/>
      <x:c r="L3" s="40"/>
      <x:c r="M3" s="40"/>
      <x:c r="N3" s="40"/>
      <x:c r="O3" s="40"/>
      <x:c r="P3" s="40"/>
      <x:c r="Q3" s="40"/>
      <x:c r="R3" s="40"/>
      <x:c r="S3" s="40"/>
    </x:row>
    <x:row r="4">
      <x:c r="A4" s="41"/>
      <x:c r="B4" s="41"/>
      <x:c r="C4" s="41"/>
      <x:c r="D4" s="41"/>
      <x:c r="E4" s="41"/>
      <x:c r="F4" s="41"/>
      <x:c r="G4" s="41"/>
      <x:c r="H4" s="41"/>
      <x:c r="I4" s="41"/>
      <x:c r="J4" s="41"/>
      <x:c r="K4" s="41"/>
      <x:c r="L4" s="41"/>
      <x:c r="M4" s="41"/>
      <x:c r="N4" s="41"/>
      <x:c r="O4" s="41"/>
      <x:c r="P4" s="41"/>
      <x:c r="Q4" s="41"/>
      <x:c r="R4" s="41"/>
      <x:c r="S4" s="41"/>
    </x:row>
    <x:row r="5" ht="34" customHeight="1">
      <x:c r="A5" s="185" t="str">
        <x:v>Mois</x:v>
      </x:c>
      <x:c r="B5" s="185" t="str">
        <x:v>Agents helpdesk</x:v>
      </x:c>
      <x:c r="C5" s="185" t="str">
        <x:v>Agents support</x:v>
      </x:c>
      <x:c r="D5" s="185" t="str">
        <x:v>Agents total</x:v>
      </x:c>
      <x:c r="E5" s="185" t="str">
        <x:v>Managers helpdesk</x:v>
      </x:c>
      <x:c r="F5" s="185" t="str">
        <x:v>Managers support</x:v>
      </x:c>
      <x:c r="G5" s="185" t="str">
        <x:v>Managers total</x:v>
      </x:c>
      <x:c r="H5" s="185" t="str">
        <x:v>Facturé</x:v>
      </x:c>
      <x:c r="I5" s="185" t="str">
        <x:v>Encaissements</x:v>
      </x:c>
      <x:c r="J5" s="185" t="str">
        <x:v>Dépôts</x:v>
      </x:c>
      <x:c r="K5" s="185" t="str">
        <x:v>Coût agents</x:v>
      </x:c>
      <x:c r="L5" s="185" t="str">
        <x:v>Coût managers</x:v>
      </x:c>
      <x:c r="M5" s="185" t="str">
        <x:v>Outils</x:v>
      </x:c>
      <x:c r="N5" s="185" t="str">
        <x:v>Onboarding</x:v>
      </x:c>
      <x:c r="O5" s="185" t="str">
        <x:v>Dépenses</x:v>
      </x:c>
      <x:c r="P5" s="185" t="str">
        <x:v>Cash début</x:v>
      </x:c>
      <x:c r="Q5" s="185" t="str">
        <x:v>Flux net</x:v>
      </x:c>
      <x:c r="R5" s="185" t="str">
        <x:v>Cash fin</x:v>
      </x:c>
      <x:c r="S5" s="185" t="str">
        <x:v>Marge mensuelle</x:v>
      </x:c>
    </x:row>
    <x:row r="6">
      <x:c r="A6" s="126" t="n">
        <x:v>1</x:v>
      </x:c>
      <x:c r="B6" s="127" t="n">
        <x:f>SUMPRODUCT(('Hypothèses'!$B$38:$B$43='Hypothèses'!$C$6)*('Hypothèses'!$E$38:$E$43="Helpdesk")*($A6&gt;='Hypothèses'!$D$38:$D$43+'Hypothèses'!$C$22)*'Hypothèses'!$F$38:$F$43)</x:f>
        <x:v>0</x:v>
      </x:c>
      <x:c r="C6" s="127" t="n">
        <x:f>SUMPRODUCT(('Hypothèses'!$B$38:$B$43='Hypothèses'!$C$6)*('Hypothèses'!$E$38:$E$43="Support")*($A6&gt;='Hypothèses'!$D$38:$D$43+'Hypothèses'!$C$22)*'Hypothèses'!$F$38:$F$43)</x:f>
        <x:v>0</x:v>
      </x:c>
      <x:c r="D6" s="127" t="n">
        <x:f>B6+C6</x:f>
        <x:v>0</x:v>
      </x:c>
      <x:c r="E6" s="127" t="n">
        <x:f>IF(B6=0,0,ROUNDUP(B6/'Hypothèses'!$C$23,0))</x:f>
        <x:v>0</x:v>
      </x:c>
      <x:c r="F6" s="127" t="n">
        <x:f>IF(C6=0,0,ROUNDUP(C6/'Hypothèses'!$C$23,0))</x:f>
        <x:v>0</x:v>
      </x:c>
      <x:c r="G6" s="127" t="n">
        <x:f>E6+F6</x:f>
        <x:v>0</x:v>
      </x:c>
      <x:c r="H6" s="128" t="n">
        <x:f>SUMPRODUCT(('Hypothèses'!$B$38:$B$43='Hypothèses'!$C$6)*($A6&gt;='Hypothèses'!$D$38:$D$43+'Hypothèses'!$C$20)*'Hypothèses'!$F$38:$F$43*'Hypothèses'!$I$38:$I$43)-SUMPRODUCT(('Hypothèses'!$B$38:$B$43='Hypothèses'!$C$6)*($A6&gt;='Hypothèses'!$D$38:$D$43+'Hypothèses'!$C$20)*($A6&lt;'Hypothèses'!$D$38:$D$43+'Hypothèses'!$C$20+3)*'Hypothèses'!$F$38:$F$43*'Hypothèses'!$C$19)</x:f>
        <x:v>0</x:v>
      </x:c>
      <x:c r="I6" s="128" t="n">
        <x:f>SUMPRODUCT(('Hypothèses'!$B$38:$B$43='Hypothèses'!$C$6)*($A6&gt;='Hypothèses'!$D$38:$D$43+'Hypothèses'!$C$20+'Hypothèses'!$C$21)*'Hypothèses'!$F$38:$F$43*'Hypothèses'!$I$38:$I$43)-SUMPRODUCT(('Hypothèses'!$B$38:$B$43='Hypothèses'!$C$6)*($A6&gt;='Hypothèses'!$D$38:$D$43+'Hypothèses'!$C$20+'Hypothèses'!$C$21)*($A6&lt;'Hypothèses'!$D$38:$D$43+'Hypothèses'!$C$20+'Hypothèses'!$C$21+3)*'Hypothèses'!$F$38:$F$43*'Hypothèses'!$C$19)</x:f>
        <x:v>0</x:v>
      </x:c>
      <x:c r="J6" s="128" t="n">
        <x:f>SUMPRODUCT(('Hypothèses'!$B$38:$B$43='Hypothèses'!$C$6)*($A6='Hypothèses'!$D$38:$D$43)*'Hypothèses'!$F$38:$F$43*'Hypothèses'!$C$18)</x:f>
        <x:v>0</x:v>
      </x:c>
      <x:c r="K6" s="128" t="n">
        <x:f>D6*'Hypothèses'!$C$27</x:f>
        <x:v>0</x:v>
      </x:c>
      <x:c r="L6" s="128" t="n">
        <x:f>G6*'Hypothèses'!$C$28</x:f>
        <x:v>0</x:v>
      </x:c>
      <x:c r="M6" s="128" t="n">
        <x:f>'Hypothèses'!$C$16</x:f>
        <x:v>68</x:v>
      </x:c>
      <x:c r="N6" s="128" t="n">
        <x:f>SUMPRODUCT(('Hypothèses'!$B$38:$B$43='Hypothèses'!$C$6)*($A6='Hypothèses'!$D$38:$D$43))*'Hypothèses'!$C$17</x:f>
        <x:v>0</x:v>
      </x:c>
      <x:c r="O6" s="128" t="n">
        <x:f>SUM(K6:N6)</x:f>
        <x:v>68</x:v>
      </x:c>
      <x:c r="P6" s="128" t="n">
        <x:f>'Hypothèses'!$C$9</x:f>
        <x:v>0</x:v>
      </x:c>
      <x:c r="Q6" s="128" t="n">
        <x:f>I6+J6-O6</x:f>
        <x:v>-68</x:v>
      </x:c>
      <x:c r="R6" s="128" t="n">
        <x:f>P6+Q6</x:f>
        <x:v>-68</x:v>
      </x:c>
      <x:c r="S6" s="129" t="n">
        <x:f>H6-O6</x:f>
        <x:v>-68</x:v>
      </x:c>
    </x:row>
    <x:row r="7">
      <x:c r="A7" s="130" t="n">
        <x:v>2</x:v>
      </x:c>
      <x:c r="B7" s="131" t="n">
        <x:f>SUMPRODUCT(('Hypothèses'!$B$38:$B$43='Hypothèses'!$C$6)*('Hypothèses'!$E$38:$E$43="Helpdesk")*($A7&gt;='Hypothèses'!$D$38:$D$43+'Hypothèses'!$C$22)*'Hypothèses'!$F$38:$F$43)</x:f>
        <x:v>0</x:v>
      </x:c>
      <x:c r="C7" s="131" t="n">
        <x:f>SUMPRODUCT(('Hypothèses'!$B$38:$B$43='Hypothèses'!$C$6)*('Hypothèses'!$E$38:$E$43="Support")*($A7&gt;='Hypothèses'!$D$38:$D$43+'Hypothèses'!$C$22)*'Hypothèses'!$F$38:$F$43)</x:f>
        <x:v>0</x:v>
      </x:c>
      <x:c r="D7" s="131" t="n">
        <x:f>B7+C7</x:f>
        <x:v>0</x:v>
      </x:c>
      <x:c r="E7" s="131" t="n">
        <x:f>IF(B7=0,0,ROUNDUP(B7/'Hypothèses'!$C$23,0))</x:f>
        <x:v>0</x:v>
      </x:c>
      <x:c r="F7" s="131" t="n">
        <x:f>IF(C7=0,0,ROUNDUP(C7/'Hypothèses'!$C$23,0))</x:f>
        <x:v>0</x:v>
      </x:c>
      <x:c r="G7" s="131" t="n">
        <x:f>E7+F7</x:f>
        <x:v>0</x:v>
      </x:c>
      <x:c r="H7" s="132" t="n">
        <x:f>SUMPRODUCT(('Hypothèses'!$B$38:$B$43='Hypothèses'!$C$6)*($A7&gt;='Hypothèses'!$D$38:$D$43+'Hypothèses'!$C$20)*'Hypothèses'!$F$38:$F$43*'Hypothèses'!$I$38:$I$43)-SUMPRODUCT(('Hypothèses'!$B$38:$B$43='Hypothèses'!$C$6)*($A7&gt;='Hypothèses'!$D$38:$D$43+'Hypothèses'!$C$20)*($A7&lt;'Hypothèses'!$D$38:$D$43+'Hypothèses'!$C$20+3)*'Hypothèses'!$F$38:$F$43*'Hypothèses'!$C$19)</x:f>
        <x:v>0</x:v>
      </x:c>
      <x:c r="I7" s="132" t="n">
        <x:f>SUMPRODUCT(('Hypothèses'!$B$38:$B$43='Hypothèses'!$C$6)*($A7&gt;='Hypothèses'!$D$38:$D$43+'Hypothèses'!$C$20+'Hypothèses'!$C$21)*'Hypothèses'!$F$38:$F$43*'Hypothèses'!$I$38:$I$43)-SUMPRODUCT(('Hypothèses'!$B$38:$B$43='Hypothèses'!$C$6)*($A7&gt;='Hypothèses'!$D$38:$D$43+'Hypothèses'!$C$20+'Hypothèses'!$C$21)*($A7&lt;'Hypothèses'!$D$38:$D$43+'Hypothèses'!$C$20+'Hypothèses'!$C$21+3)*'Hypothèses'!$F$38:$F$43*'Hypothèses'!$C$19)</x:f>
        <x:v>0</x:v>
      </x:c>
      <x:c r="J7" s="132" t="n">
        <x:f>SUMPRODUCT(('Hypothèses'!$B$38:$B$43='Hypothèses'!$C$6)*($A7='Hypothèses'!$D$38:$D$43)*'Hypothèses'!$F$38:$F$43*'Hypothèses'!$C$18)</x:f>
        <x:v>0</x:v>
      </x:c>
      <x:c r="K7" s="132" t="n">
        <x:f>D7*'Hypothèses'!$C$27</x:f>
        <x:v>0</x:v>
      </x:c>
      <x:c r="L7" s="132" t="n">
        <x:f>G7*'Hypothèses'!$C$28</x:f>
        <x:v>0</x:v>
      </x:c>
      <x:c r="M7" s="132" t="n">
        <x:f>'Hypothèses'!$C$16</x:f>
        <x:v>68</x:v>
      </x:c>
      <x:c r="N7" s="132" t="n">
        <x:f>SUMPRODUCT(('Hypothèses'!$B$38:$B$43='Hypothèses'!$C$6)*($A7='Hypothèses'!$D$38:$D$43))*'Hypothèses'!$C$17</x:f>
        <x:v>0</x:v>
      </x:c>
      <x:c r="O7" s="132" t="n">
        <x:f>SUM(K7:N7)</x:f>
        <x:v>68</x:v>
      </x:c>
      <x:c r="P7" s="132" t="n">
        <x:f>R6</x:f>
        <x:v>-68</x:v>
      </x:c>
      <x:c r="Q7" s="132" t="n">
        <x:f>I7+J7-O7</x:f>
        <x:v>-68</x:v>
      </x:c>
      <x:c r="R7" s="132" t="n">
        <x:f>P7+Q7</x:f>
        <x:v>-136</x:v>
      </x:c>
      <x:c r="S7" s="133" t="n">
        <x:f>H7-O7</x:f>
        <x:v>-68</x:v>
      </x:c>
    </x:row>
    <x:row r="8">
      <x:c r="A8" s="130" t="n">
        <x:v>3</x:v>
      </x:c>
      <x:c r="B8" s="131" t="n">
        <x:f>SUMPRODUCT(('Hypothèses'!$B$38:$B$43='Hypothèses'!$C$6)*('Hypothèses'!$E$38:$E$43="Helpdesk")*($A8&gt;='Hypothèses'!$D$38:$D$43+'Hypothèses'!$C$22)*'Hypothèses'!$F$38:$F$43)</x:f>
        <x:v>0</x:v>
      </x:c>
      <x:c r="C8" s="131" t="n">
        <x:f>SUMPRODUCT(('Hypothèses'!$B$38:$B$43='Hypothèses'!$C$6)*('Hypothèses'!$E$38:$E$43="Support")*($A8&gt;='Hypothèses'!$D$38:$D$43+'Hypothèses'!$C$22)*'Hypothèses'!$F$38:$F$43)</x:f>
        <x:v>0</x:v>
      </x:c>
      <x:c r="D8" s="131" t="n">
        <x:f>B8+C8</x:f>
        <x:v>0</x:v>
      </x:c>
      <x:c r="E8" s="131" t="n">
        <x:f>IF(B8=0,0,ROUNDUP(B8/'Hypothèses'!$C$23,0))</x:f>
        <x:v>0</x:v>
      </x:c>
      <x:c r="F8" s="131" t="n">
        <x:f>IF(C8=0,0,ROUNDUP(C8/'Hypothèses'!$C$23,0))</x:f>
        <x:v>0</x:v>
      </x:c>
      <x:c r="G8" s="131" t="n">
        <x:f>E8+F8</x:f>
        <x:v>0</x:v>
      </x:c>
      <x:c r="H8" s="132" t="n">
        <x:f>SUMPRODUCT(('Hypothèses'!$B$38:$B$43='Hypothèses'!$C$6)*($A8&gt;='Hypothèses'!$D$38:$D$43+'Hypothèses'!$C$20)*'Hypothèses'!$F$38:$F$43*'Hypothèses'!$I$38:$I$43)-SUMPRODUCT(('Hypothèses'!$B$38:$B$43='Hypothèses'!$C$6)*($A8&gt;='Hypothèses'!$D$38:$D$43+'Hypothèses'!$C$20)*($A8&lt;'Hypothèses'!$D$38:$D$43+'Hypothèses'!$C$20+3)*'Hypothèses'!$F$38:$F$43*'Hypothèses'!$C$19)</x:f>
        <x:v>0</x:v>
      </x:c>
      <x:c r="I8" s="132" t="n">
        <x:f>SUMPRODUCT(('Hypothèses'!$B$38:$B$43='Hypothèses'!$C$6)*($A8&gt;='Hypothèses'!$D$38:$D$43+'Hypothèses'!$C$20+'Hypothèses'!$C$21)*'Hypothèses'!$F$38:$F$43*'Hypothèses'!$I$38:$I$43)-SUMPRODUCT(('Hypothèses'!$B$38:$B$43='Hypothèses'!$C$6)*($A8&gt;='Hypothèses'!$D$38:$D$43+'Hypothèses'!$C$20+'Hypothèses'!$C$21)*($A8&lt;'Hypothèses'!$D$38:$D$43+'Hypothèses'!$C$20+'Hypothèses'!$C$21+3)*'Hypothèses'!$F$38:$F$43*'Hypothèses'!$C$19)</x:f>
        <x:v>0</x:v>
      </x:c>
      <x:c r="J8" s="132" t="n">
        <x:f>SUMPRODUCT(('Hypothèses'!$B$38:$B$43='Hypothèses'!$C$6)*($A8='Hypothèses'!$D$38:$D$43)*'Hypothèses'!$F$38:$F$43*'Hypothèses'!$C$18)</x:f>
        <x:v>0</x:v>
      </x:c>
      <x:c r="K8" s="132" t="n">
        <x:f>D8*'Hypothèses'!$C$27</x:f>
        <x:v>0</x:v>
      </x:c>
      <x:c r="L8" s="132" t="n">
        <x:f>G8*'Hypothèses'!$C$28</x:f>
        <x:v>0</x:v>
      </x:c>
      <x:c r="M8" s="132" t="n">
        <x:f>'Hypothèses'!$C$16</x:f>
        <x:v>68</x:v>
      </x:c>
      <x:c r="N8" s="132" t="n">
        <x:f>SUMPRODUCT(('Hypothèses'!$B$38:$B$43='Hypothèses'!$C$6)*($A8='Hypothèses'!$D$38:$D$43))*'Hypothèses'!$C$17</x:f>
        <x:v>0</x:v>
      </x:c>
      <x:c r="O8" s="132" t="n">
        <x:f>SUM(K8:N8)</x:f>
        <x:v>68</x:v>
      </x:c>
      <x:c r="P8" s="132" t="n">
        <x:f>R7</x:f>
        <x:v>-136</x:v>
      </x:c>
      <x:c r="Q8" s="132" t="n">
        <x:f>I8+J8-O8</x:f>
        <x:v>-68</x:v>
      </x:c>
      <x:c r="R8" s="132" t="n">
        <x:f>P8+Q8</x:f>
        <x:v>-204</x:v>
      </x:c>
      <x:c r="S8" s="133" t="n">
        <x:f>H8-O8</x:f>
        <x:v>-68</x:v>
      </x:c>
    </x:row>
    <x:row r="9">
      <x:c r="A9" s="130" t="n">
        <x:v>4</x:v>
      </x:c>
      <x:c r="B9" s="131" t="n">
        <x:f>SUMPRODUCT(('Hypothèses'!$B$38:$B$43='Hypothèses'!$C$6)*('Hypothèses'!$E$38:$E$43="Helpdesk")*($A9&gt;='Hypothèses'!$D$38:$D$43+'Hypothèses'!$C$22)*'Hypothèses'!$F$38:$F$43)</x:f>
        <x:v>0</x:v>
      </x:c>
      <x:c r="C9" s="131" t="n">
        <x:f>SUMPRODUCT(('Hypothèses'!$B$38:$B$43='Hypothèses'!$C$6)*('Hypothèses'!$E$38:$E$43="Support")*($A9&gt;='Hypothèses'!$D$38:$D$43+'Hypothèses'!$C$22)*'Hypothèses'!$F$38:$F$43)</x:f>
        <x:v>0</x:v>
      </x:c>
      <x:c r="D9" s="131" t="n">
        <x:f>B9+C9</x:f>
        <x:v>0</x:v>
      </x:c>
      <x:c r="E9" s="131" t="n">
        <x:f>IF(B9=0,0,ROUNDUP(B9/'Hypothèses'!$C$23,0))</x:f>
        <x:v>0</x:v>
      </x:c>
      <x:c r="F9" s="131" t="n">
        <x:f>IF(C9=0,0,ROUNDUP(C9/'Hypothèses'!$C$23,0))</x:f>
        <x:v>0</x:v>
      </x:c>
      <x:c r="G9" s="131" t="n">
        <x:f>E9+F9</x:f>
        <x:v>0</x:v>
      </x:c>
      <x:c r="H9" s="132" t="n">
        <x:f>SUMPRODUCT(('Hypothèses'!$B$38:$B$43='Hypothèses'!$C$6)*($A9&gt;='Hypothèses'!$D$38:$D$43+'Hypothèses'!$C$20)*'Hypothèses'!$F$38:$F$43*'Hypothèses'!$I$38:$I$43)-SUMPRODUCT(('Hypothèses'!$B$38:$B$43='Hypothèses'!$C$6)*($A9&gt;='Hypothèses'!$D$38:$D$43+'Hypothèses'!$C$20)*($A9&lt;'Hypothèses'!$D$38:$D$43+'Hypothèses'!$C$20+3)*'Hypothèses'!$F$38:$F$43*'Hypothèses'!$C$19)</x:f>
        <x:v>0</x:v>
      </x:c>
      <x:c r="I9" s="132" t="n">
        <x:f>SUMPRODUCT(('Hypothèses'!$B$38:$B$43='Hypothèses'!$C$6)*($A9&gt;='Hypothèses'!$D$38:$D$43+'Hypothèses'!$C$20+'Hypothèses'!$C$21)*'Hypothèses'!$F$38:$F$43*'Hypothèses'!$I$38:$I$43)-SUMPRODUCT(('Hypothèses'!$B$38:$B$43='Hypothèses'!$C$6)*($A9&gt;='Hypothèses'!$D$38:$D$43+'Hypothèses'!$C$20+'Hypothèses'!$C$21)*($A9&lt;'Hypothèses'!$D$38:$D$43+'Hypothèses'!$C$20+'Hypothèses'!$C$21+3)*'Hypothèses'!$F$38:$F$43*'Hypothèses'!$C$19)</x:f>
        <x:v>0</x:v>
      </x:c>
      <x:c r="J9" s="132" t="n">
        <x:f>SUMPRODUCT(('Hypothèses'!$B$38:$B$43='Hypothèses'!$C$6)*($A9='Hypothèses'!$D$38:$D$43)*'Hypothèses'!$F$38:$F$43*'Hypothèses'!$C$18)</x:f>
        <x:v>1800</x:v>
      </x:c>
      <x:c r="K9" s="132" t="n">
        <x:f>D9*'Hypothèses'!$C$27</x:f>
        <x:v>0</x:v>
      </x:c>
      <x:c r="L9" s="132" t="n">
        <x:f>G9*'Hypothèses'!$C$28</x:f>
        <x:v>0</x:v>
      </x:c>
      <x:c r="M9" s="132" t="n">
        <x:f>'Hypothèses'!$C$16</x:f>
        <x:v>68</x:v>
      </x:c>
      <x:c r="N9" s="132" t="n">
        <x:f>SUMPRODUCT(('Hypothèses'!$B$38:$B$43='Hypothèses'!$C$6)*($A9='Hypothèses'!$D$38:$D$43))*'Hypothèses'!$C$17</x:f>
        <x:v>1600</x:v>
      </x:c>
      <x:c r="O9" s="132" t="n">
        <x:f>SUM(K9:N9)</x:f>
        <x:v>1668</x:v>
      </x:c>
      <x:c r="P9" s="132" t="n">
        <x:f>R8</x:f>
        <x:v>-204</x:v>
      </x:c>
      <x:c r="Q9" s="132" t="n">
        <x:f>I9+J9-O9</x:f>
        <x:v>132</x:v>
      </x:c>
      <x:c r="R9" s="132" t="n">
        <x:f>P9+Q9</x:f>
        <x:v>-72</x:v>
      </x:c>
      <x:c r="S9" s="133" t="n">
        <x:f>H9-O9</x:f>
        <x:v>-1668</x:v>
      </x:c>
    </x:row>
    <x:row r="10">
      <x:c r="A10" s="130" t="n">
        <x:v>5</x:v>
      </x:c>
      <x:c r="B10" s="131" t="n">
        <x:f>SUMPRODUCT(('Hypothèses'!$B$38:$B$43='Hypothèses'!$C$6)*('Hypothèses'!$E$38:$E$43="Helpdesk")*($A10&gt;='Hypothèses'!$D$38:$D$43+'Hypothèses'!$C$22)*'Hypothèses'!$F$38:$F$43)</x:f>
        <x:v>2</x:v>
      </x:c>
      <x:c r="C10" s="131" t="n">
        <x:f>SUMPRODUCT(('Hypothèses'!$B$38:$B$43='Hypothèses'!$C$6)*('Hypothèses'!$E$38:$E$43="Support")*($A10&gt;='Hypothèses'!$D$38:$D$43+'Hypothèses'!$C$22)*'Hypothèses'!$F$38:$F$43)</x:f>
        <x:v>0</x:v>
      </x:c>
      <x:c r="D10" s="131" t="n">
        <x:f>B10+C10</x:f>
        <x:v>2</x:v>
      </x:c>
      <x:c r="E10" s="131" t="n">
        <x:f>IF(B10=0,0,ROUNDUP(B10/'Hypothèses'!$C$23,0))</x:f>
        <x:v>1</x:v>
      </x:c>
      <x:c r="F10" s="131" t="n">
        <x:f>IF(C10=0,0,ROUNDUP(C10/'Hypothèses'!$C$23,0))</x:f>
        <x:v>0</x:v>
      </x:c>
      <x:c r="G10" s="131" t="n">
        <x:f>E10+F10</x:f>
        <x:v>1</x:v>
      </x:c>
      <x:c r="H10" s="132" t="n">
        <x:f>SUMPRODUCT(('Hypothèses'!$B$38:$B$43='Hypothèses'!$C$6)*($A10&gt;='Hypothèses'!$D$38:$D$43+'Hypothèses'!$C$20)*'Hypothèses'!$F$38:$F$43*'Hypothèses'!$I$38:$I$43)-SUMPRODUCT(('Hypothèses'!$B$38:$B$43='Hypothèses'!$C$6)*($A10&gt;='Hypothèses'!$D$38:$D$43+'Hypothèses'!$C$20)*($A10&lt;'Hypothèses'!$D$38:$D$43+'Hypothèses'!$C$20+3)*'Hypothèses'!$F$38:$F$43*'Hypothèses'!$C$19)</x:f>
        <x:v>0</x:v>
      </x:c>
      <x:c r="I10" s="132" t="n">
        <x:f>SUMPRODUCT(('Hypothèses'!$B$38:$B$43='Hypothèses'!$C$6)*($A10&gt;='Hypothèses'!$D$38:$D$43+'Hypothèses'!$C$20+'Hypothèses'!$C$21)*'Hypothèses'!$F$38:$F$43*'Hypothèses'!$I$38:$I$43)-SUMPRODUCT(('Hypothèses'!$B$38:$B$43='Hypothèses'!$C$6)*($A10&gt;='Hypothèses'!$D$38:$D$43+'Hypothèses'!$C$20+'Hypothèses'!$C$21)*($A10&lt;'Hypothèses'!$D$38:$D$43+'Hypothèses'!$C$20+'Hypothèses'!$C$21+3)*'Hypothèses'!$F$38:$F$43*'Hypothèses'!$C$19)</x:f>
        <x:v>0</x:v>
      </x:c>
      <x:c r="J10" s="132" t="n">
        <x:f>SUMPRODUCT(('Hypothèses'!$B$38:$B$43='Hypothèses'!$C$6)*($A10='Hypothèses'!$D$38:$D$43)*'Hypothèses'!$F$38:$F$43*'Hypothèses'!$C$18)</x:f>
        <x:v>0</x:v>
      </x:c>
      <x:c r="K10" s="132" t="n">
        <x:f>D10*'Hypothèses'!$C$27</x:f>
        <x:v>1686.0800000000002</x:v>
      </x:c>
      <x:c r="L10" s="132" t="n">
        <x:f>G10*'Hypothèses'!$C$28</x:f>
        <x:v>810.0400000000001</x:v>
      </x:c>
      <x:c r="M10" s="132" t="n">
        <x:f>'Hypothèses'!$C$16</x:f>
        <x:v>68</x:v>
      </x:c>
      <x:c r="N10" s="132" t="n">
        <x:f>SUMPRODUCT(('Hypothèses'!$B$38:$B$43='Hypothèses'!$C$6)*($A10='Hypothèses'!$D$38:$D$43))*'Hypothèses'!$C$17</x:f>
        <x:v>0</x:v>
      </x:c>
      <x:c r="O10" s="132" t="n">
        <x:f>SUM(K10:N10)</x:f>
        <x:v>2564.1200000000003</x:v>
      </x:c>
      <x:c r="P10" s="132" t="n">
        <x:f>R9</x:f>
        <x:v>-72</x:v>
      </x:c>
      <x:c r="Q10" s="132" t="n">
        <x:f>I10+J10-O10</x:f>
        <x:v>-2564.1200000000003</x:v>
      </x:c>
      <x:c r="R10" s="132" t="n">
        <x:f>P10+Q10</x:f>
        <x:v>-2636.1200000000003</x:v>
      </x:c>
      <x:c r="S10" s="133" t="n">
        <x:f>H10-O10</x:f>
        <x:v>-2564.1200000000003</x:v>
      </x:c>
    </x:row>
    <x:row r="11">
      <x:c r="A11" s="130" t="n">
        <x:v>6</x:v>
      </x:c>
      <x:c r="B11" s="131" t="n">
        <x:f>SUMPRODUCT(('Hypothèses'!$B$38:$B$43='Hypothèses'!$C$6)*('Hypothèses'!$E$38:$E$43="Helpdesk")*($A11&gt;='Hypothèses'!$D$38:$D$43+'Hypothèses'!$C$22)*'Hypothèses'!$F$38:$F$43)</x:f>
        <x:v>2</x:v>
      </x:c>
      <x:c r="C11" s="131" t="n">
        <x:f>SUMPRODUCT(('Hypothèses'!$B$38:$B$43='Hypothèses'!$C$6)*('Hypothèses'!$E$38:$E$43="Support")*($A11&gt;='Hypothèses'!$D$38:$D$43+'Hypothèses'!$C$22)*'Hypothèses'!$F$38:$F$43)</x:f>
        <x:v>0</x:v>
      </x:c>
      <x:c r="D11" s="131" t="n">
        <x:f>B11+C11</x:f>
        <x:v>2</x:v>
      </x:c>
      <x:c r="E11" s="131" t="n">
        <x:f>IF(B11=0,0,ROUNDUP(B11/'Hypothèses'!$C$23,0))</x:f>
        <x:v>1</x:v>
      </x:c>
      <x:c r="F11" s="131" t="n">
        <x:f>IF(C11=0,0,ROUNDUP(C11/'Hypothèses'!$C$23,0))</x:f>
        <x:v>0</x:v>
      </x:c>
      <x:c r="G11" s="131" t="n">
        <x:f>E11+F11</x:f>
        <x:v>1</x:v>
      </x:c>
      <x:c r="H11" s="132" t="n">
        <x:f>SUMPRODUCT(('Hypothèses'!$B$38:$B$43='Hypothèses'!$C$6)*($A11&gt;='Hypothèses'!$D$38:$D$43+'Hypothèses'!$C$20)*'Hypothèses'!$F$38:$F$43*'Hypothèses'!$I$38:$I$43)-SUMPRODUCT(('Hypothèses'!$B$38:$B$43='Hypothèses'!$C$6)*($A11&gt;='Hypothèses'!$D$38:$D$43+'Hypothèses'!$C$20)*($A11&lt;'Hypothèses'!$D$38:$D$43+'Hypothèses'!$C$20+3)*'Hypothèses'!$F$38:$F$43*'Hypothèses'!$C$19)</x:f>
        <x:v>2500</x:v>
      </x:c>
      <x:c r="I11" s="132" t="n">
        <x:f>SUMPRODUCT(('Hypothèses'!$B$38:$B$43='Hypothèses'!$C$6)*($A11&gt;='Hypothèses'!$D$38:$D$43+'Hypothèses'!$C$20+'Hypothèses'!$C$21)*'Hypothèses'!$F$38:$F$43*'Hypothèses'!$I$38:$I$43)-SUMPRODUCT(('Hypothèses'!$B$38:$B$43='Hypothèses'!$C$6)*($A11&gt;='Hypothèses'!$D$38:$D$43+'Hypothèses'!$C$20+'Hypothèses'!$C$21)*($A11&lt;'Hypothèses'!$D$38:$D$43+'Hypothèses'!$C$20+'Hypothèses'!$C$21+3)*'Hypothèses'!$F$38:$F$43*'Hypothèses'!$C$19)</x:f>
        <x:v>0</x:v>
      </x:c>
      <x:c r="J11" s="132" t="n">
        <x:f>SUMPRODUCT(('Hypothèses'!$B$38:$B$43='Hypothèses'!$C$6)*($A11='Hypothèses'!$D$38:$D$43)*'Hypothèses'!$F$38:$F$43*'Hypothèses'!$C$18)</x:f>
        <x:v>0</x:v>
      </x:c>
      <x:c r="K11" s="132" t="n">
        <x:f>D11*'Hypothèses'!$C$27</x:f>
        <x:v>1686.0800000000002</x:v>
      </x:c>
      <x:c r="L11" s="132" t="n">
        <x:f>G11*'Hypothèses'!$C$28</x:f>
        <x:v>810.0400000000001</x:v>
      </x:c>
      <x:c r="M11" s="132" t="n">
        <x:f>'Hypothèses'!$C$16</x:f>
        <x:v>68</x:v>
      </x:c>
      <x:c r="N11" s="132" t="n">
        <x:f>SUMPRODUCT(('Hypothèses'!$B$38:$B$43='Hypothèses'!$C$6)*($A11='Hypothèses'!$D$38:$D$43))*'Hypothèses'!$C$17</x:f>
        <x:v>0</x:v>
      </x:c>
      <x:c r="O11" s="132" t="n">
        <x:f>SUM(K11:N11)</x:f>
        <x:v>2564.1200000000003</x:v>
      </x:c>
      <x:c r="P11" s="132" t="n">
        <x:f>R10</x:f>
        <x:v>-2636.1200000000003</x:v>
      </x:c>
      <x:c r="Q11" s="132" t="n">
        <x:f>I11+J11-O11</x:f>
        <x:v>-2564.1200000000003</x:v>
      </x:c>
      <x:c r="R11" s="132" t="n">
        <x:f>P11+Q11</x:f>
        <x:v>-5200.240000000001</x:v>
      </x:c>
      <x:c r="S11" s="133" t="n">
        <x:f>H11-O11</x:f>
        <x:v>-64.12000000000035</x:v>
      </x:c>
    </x:row>
    <x:row r="12">
      <x:c r="A12" s="130" t="n">
        <x:v>7</x:v>
      </x:c>
      <x:c r="B12" s="131" t="n">
        <x:f>SUMPRODUCT(('Hypothèses'!$B$38:$B$43='Hypothèses'!$C$6)*('Hypothèses'!$E$38:$E$43="Helpdesk")*($A12&gt;='Hypothèses'!$D$38:$D$43+'Hypothèses'!$C$22)*'Hypothèses'!$F$38:$F$43)</x:f>
        <x:v>2</x:v>
      </x:c>
      <x:c r="C12" s="131" t="n">
        <x:f>SUMPRODUCT(('Hypothèses'!$B$38:$B$43='Hypothèses'!$C$6)*('Hypothèses'!$E$38:$E$43="Support")*($A12&gt;='Hypothèses'!$D$38:$D$43+'Hypothèses'!$C$22)*'Hypothèses'!$F$38:$F$43)</x:f>
        <x:v>0</x:v>
      </x:c>
      <x:c r="D12" s="131" t="n">
        <x:f>B12+C12</x:f>
        <x:v>2</x:v>
      </x:c>
      <x:c r="E12" s="131" t="n">
        <x:f>IF(B12=0,0,ROUNDUP(B12/'Hypothèses'!$C$23,0))</x:f>
        <x:v>1</x:v>
      </x:c>
      <x:c r="F12" s="131" t="n">
        <x:f>IF(C12=0,0,ROUNDUP(C12/'Hypothèses'!$C$23,0))</x:f>
        <x:v>0</x:v>
      </x:c>
      <x:c r="G12" s="131" t="n">
        <x:f>E12+F12</x:f>
        <x:v>1</x:v>
      </x:c>
      <x:c r="H12" s="132" t="n">
        <x:f>SUMPRODUCT(('Hypothèses'!$B$38:$B$43='Hypothèses'!$C$6)*($A12&gt;='Hypothèses'!$D$38:$D$43+'Hypothèses'!$C$20)*'Hypothèses'!$F$38:$F$43*'Hypothèses'!$I$38:$I$43)-SUMPRODUCT(('Hypothèses'!$B$38:$B$43='Hypothèses'!$C$6)*($A12&gt;='Hypothèses'!$D$38:$D$43+'Hypothèses'!$C$20)*($A12&lt;'Hypothèses'!$D$38:$D$43+'Hypothèses'!$C$20+3)*'Hypothèses'!$F$38:$F$43*'Hypothèses'!$C$19)</x:f>
        <x:v>2500</x:v>
      </x:c>
      <x:c r="I12" s="132" t="n">
        <x:f>SUMPRODUCT(('Hypothèses'!$B$38:$B$43='Hypothèses'!$C$6)*($A12&gt;='Hypothèses'!$D$38:$D$43+'Hypothèses'!$C$20+'Hypothèses'!$C$21)*'Hypothèses'!$F$38:$F$43*'Hypothèses'!$I$38:$I$43)-SUMPRODUCT(('Hypothèses'!$B$38:$B$43='Hypothèses'!$C$6)*($A12&gt;='Hypothèses'!$D$38:$D$43+'Hypothèses'!$C$20+'Hypothèses'!$C$21)*($A12&lt;'Hypothèses'!$D$38:$D$43+'Hypothèses'!$C$20+'Hypothèses'!$C$21+3)*'Hypothèses'!$F$38:$F$43*'Hypothèses'!$C$19)</x:f>
        <x:v>2500</x:v>
      </x:c>
      <x:c r="J12" s="132" t="n">
        <x:f>SUMPRODUCT(('Hypothèses'!$B$38:$B$43='Hypothèses'!$C$6)*($A12='Hypothèses'!$D$38:$D$43)*'Hypothèses'!$F$38:$F$43*'Hypothèses'!$C$18)</x:f>
        <x:v>0</x:v>
      </x:c>
      <x:c r="K12" s="132" t="n">
        <x:f>D12*'Hypothèses'!$C$27</x:f>
        <x:v>1686.0800000000002</x:v>
      </x:c>
      <x:c r="L12" s="132" t="n">
        <x:f>G12*'Hypothèses'!$C$28</x:f>
        <x:v>810.0400000000001</x:v>
      </x:c>
      <x:c r="M12" s="132" t="n">
        <x:f>'Hypothèses'!$C$16</x:f>
        <x:v>68</x:v>
      </x:c>
      <x:c r="N12" s="132" t="n">
        <x:f>SUMPRODUCT(('Hypothèses'!$B$38:$B$43='Hypothèses'!$C$6)*($A12='Hypothèses'!$D$38:$D$43))*'Hypothèses'!$C$17</x:f>
        <x:v>0</x:v>
      </x:c>
      <x:c r="O12" s="132" t="n">
        <x:f>SUM(K12:N12)</x:f>
        <x:v>2564.1200000000003</x:v>
      </x:c>
      <x:c r="P12" s="132" t="n">
        <x:f>R11</x:f>
        <x:v>-5200.240000000001</x:v>
      </x:c>
      <x:c r="Q12" s="132" t="n">
        <x:f>I12+J12-O12</x:f>
        <x:v>-64.12000000000035</x:v>
      </x:c>
      <x:c r="R12" s="132" t="n">
        <x:f>P12+Q12</x:f>
        <x:v>-5264.360000000001</x:v>
      </x:c>
      <x:c r="S12" s="133" t="n">
        <x:f>H12-O12</x:f>
        <x:v>-64.12000000000035</x:v>
      </x:c>
    </x:row>
    <x:row r="13">
      <x:c r="A13" s="130" t="n">
        <x:v>8</x:v>
      </x:c>
      <x:c r="B13" s="131" t="n">
        <x:f>SUMPRODUCT(('Hypothèses'!$B$38:$B$43='Hypothèses'!$C$6)*('Hypothèses'!$E$38:$E$43="Helpdesk")*($A13&gt;='Hypothèses'!$D$38:$D$43+'Hypothèses'!$C$22)*'Hypothèses'!$F$38:$F$43)</x:f>
        <x:v>2</x:v>
      </x:c>
      <x:c r="C13" s="131" t="n">
        <x:f>SUMPRODUCT(('Hypothèses'!$B$38:$B$43='Hypothèses'!$C$6)*('Hypothèses'!$E$38:$E$43="Support")*($A13&gt;='Hypothèses'!$D$38:$D$43+'Hypothèses'!$C$22)*'Hypothèses'!$F$38:$F$43)</x:f>
        <x:v>0</x:v>
      </x:c>
      <x:c r="D13" s="131" t="n">
        <x:f>B13+C13</x:f>
        <x:v>2</x:v>
      </x:c>
      <x:c r="E13" s="131" t="n">
        <x:f>IF(B13=0,0,ROUNDUP(B13/'Hypothèses'!$C$23,0))</x:f>
        <x:v>1</x:v>
      </x:c>
      <x:c r="F13" s="131" t="n">
        <x:f>IF(C13=0,0,ROUNDUP(C13/'Hypothèses'!$C$23,0))</x:f>
        <x:v>0</x:v>
      </x:c>
      <x:c r="G13" s="131" t="n">
        <x:f>E13+F13</x:f>
        <x:v>1</x:v>
      </x:c>
      <x:c r="H13" s="132" t="n">
        <x:f>SUMPRODUCT(('Hypothèses'!$B$38:$B$43='Hypothèses'!$C$6)*($A13&gt;='Hypothèses'!$D$38:$D$43+'Hypothèses'!$C$20)*'Hypothèses'!$F$38:$F$43*'Hypothèses'!$I$38:$I$43)-SUMPRODUCT(('Hypothèses'!$B$38:$B$43='Hypothèses'!$C$6)*($A13&gt;='Hypothèses'!$D$38:$D$43+'Hypothèses'!$C$20)*($A13&lt;'Hypothèses'!$D$38:$D$43+'Hypothèses'!$C$20+3)*'Hypothèses'!$F$38:$F$43*'Hypothèses'!$C$19)</x:f>
        <x:v>2500</x:v>
      </x:c>
      <x:c r="I13" s="132" t="n">
        <x:f>SUMPRODUCT(('Hypothèses'!$B$38:$B$43='Hypothèses'!$C$6)*($A13&gt;='Hypothèses'!$D$38:$D$43+'Hypothèses'!$C$20+'Hypothèses'!$C$21)*'Hypothèses'!$F$38:$F$43*'Hypothèses'!$I$38:$I$43)-SUMPRODUCT(('Hypothèses'!$B$38:$B$43='Hypothèses'!$C$6)*($A13&gt;='Hypothèses'!$D$38:$D$43+'Hypothèses'!$C$20+'Hypothèses'!$C$21)*($A13&lt;'Hypothèses'!$D$38:$D$43+'Hypothèses'!$C$20+'Hypothèses'!$C$21+3)*'Hypothèses'!$F$38:$F$43*'Hypothèses'!$C$19)</x:f>
        <x:v>2500</x:v>
      </x:c>
      <x:c r="J13" s="132" t="n">
        <x:f>SUMPRODUCT(('Hypothèses'!$B$38:$B$43='Hypothèses'!$C$6)*($A13='Hypothèses'!$D$38:$D$43)*'Hypothèses'!$F$38:$F$43*'Hypothèses'!$C$18)</x:f>
        <x:v>0</x:v>
      </x:c>
      <x:c r="K13" s="132" t="n">
        <x:f>D13*'Hypothèses'!$C$27</x:f>
        <x:v>1686.0800000000002</x:v>
      </x:c>
      <x:c r="L13" s="132" t="n">
        <x:f>G13*'Hypothèses'!$C$28</x:f>
        <x:v>810.0400000000001</x:v>
      </x:c>
      <x:c r="M13" s="132" t="n">
        <x:f>'Hypothèses'!$C$16</x:f>
        <x:v>68</x:v>
      </x:c>
      <x:c r="N13" s="132" t="n">
        <x:f>SUMPRODUCT(('Hypothèses'!$B$38:$B$43='Hypothèses'!$C$6)*($A13='Hypothèses'!$D$38:$D$43))*'Hypothèses'!$C$17</x:f>
        <x:v>0</x:v>
      </x:c>
      <x:c r="O13" s="132" t="n">
        <x:f>SUM(K13:N13)</x:f>
        <x:v>2564.1200000000003</x:v>
      </x:c>
      <x:c r="P13" s="132" t="n">
        <x:f>R12</x:f>
        <x:v>-5264.360000000001</x:v>
      </x:c>
      <x:c r="Q13" s="132" t="n">
        <x:f>I13+J13-O13</x:f>
        <x:v>-64.12000000000035</x:v>
      </x:c>
      <x:c r="R13" s="132" t="n">
        <x:f>P13+Q13</x:f>
        <x:v>-5328.480000000001</x:v>
      </x:c>
      <x:c r="S13" s="133" t="n">
        <x:f>H13-O13</x:f>
        <x:v>-64.12000000000035</x:v>
      </x:c>
    </x:row>
    <x:row r="14">
      <x:c r="A14" s="130" t="n">
        <x:v>9</x:v>
      </x:c>
      <x:c r="B14" s="131" t="n">
        <x:f>SUMPRODUCT(('Hypothèses'!$B$38:$B$43='Hypothèses'!$C$6)*('Hypothèses'!$E$38:$E$43="Helpdesk")*($A14&gt;='Hypothèses'!$D$38:$D$43+'Hypothèses'!$C$22)*'Hypothèses'!$F$38:$F$43)</x:f>
        <x:v>2</x:v>
      </x:c>
      <x:c r="C14" s="131" t="n">
        <x:f>SUMPRODUCT(('Hypothèses'!$B$38:$B$43='Hypothèses'!$C$6)*('Hypothèses'!$E$38:$E$43="Support")*($A14&gt;='Hypothèses'!$D$38:$D$43+'Hypothèses'!$C$22)*'Hypothèses'!$F$38:$F$43)</x:f>
        <x:v>0</x:v>
      </x:c>
      <x:c r="D14" s="131" t="n">
        <x:f>B14+C14</x:f>
        <x:v>2</x:v>
      </x:c>
      <x:c r="E14" s="131" t="n">
        <x:f>IF(B14=0,0,ROUNDUP(B14/'Hypothèses'!$C$23,0))</x:f>
        <x:v>1</x:v>
      </x:c>
      <x:c r="F14" s="131" t="n">
        <x:f>IF(C14=0,0,ROUNDUP(C14/'Hypothèses'!$C$23,0))</x:f>
        <x:v>0</x:v>
      </x:c>
      <x:c r="G14" s="131" t="n">
        <x:f>E14+F14</x:f>
        <x:v>1</x:v>
      </x:c>
      <x:c r="H14" s="132" t="n">
        <x:f>SUMPRODUCT(('Hypothèses'!$B$38:$B$43='Hypothèses'!$C$6)*($A14&gt;='Hypothèses'!$D$38:$D$43+'Hypothèses'!$C$20)*'Hypothèses'!$F$38:$F$43*'Hypothèses'!$I$38:$I$43)-SUMPRODUCT(('Hypothèses'!$B$38:$B$43='Hypothèses'!$C$6)*($A14&gt;='Hypothèses'!$D$38:$D$43+'Hypothèses'!$C$20)*($A14&lt;'Hypothèses'!$D$38:$D$43+'Hypothèses'!$C$20+3)*'Hypothèses'!$F$38:$F$43*'Hypothèses'!$C$19)</x:f>
        <x:v>3100</x:v>
      </x:c>
      <x:c r="I14" s="132" t="n">
        <x:f>SUMPRODUCT(('Hypothèses'!$B$38:$B$43='Hypothèses'!$C$6)*($A14&gt;='Hypothèses'!$D$38:$D$43+'Hypothèses'!$C$20+'Hypothèses'!$C$21)*'Hypothèses'!$F$38:$F$43*'Hypothèses'!$I$38:$I$43)-SUMPRODUCT(('Hypothèses'!$B$38:$B$43='Hypothèses'!$C$6)*($A14&gt;='Hypothèses'!$D$38:$D$43+'Hypothèses'!$C$20+'Hypothèses'!$C$21)*($A14&lt;'Hypothèses'!$D$38:$D$43+'Hypothèses'!$C$20+'Hypothèses'!$C$21+3)*'Hypothèses'!$F$38:$F$43*'Hypothèses'!$C$19)</x:f>
        <x:v>2500</x:v>
      </x:c>
      <x:c r="J14" s="132" t="n">
        <x:f>SUMPRODUCT(('Hypothèses'!$B$38:$B$43='Hypothèses'!$C$6)*($A14='Hypothèses'!$D$38:$D$43)*'Hypothèses'!$F$38:$F$43*'Hypothèses'!$C$18)</x:f>
        <x:v>1800</x:v>
      </x:c>
      <x:c r="K14" s="132" t="n">
        <x:f>D14*'Hypothèses'!$C$27</x:f>
        <x:v>1686.0800000000002</x:v>
      </x:c>
      <x:c r="L14" s="132" t="n">
        <x:f>G14*'Hypothèses'!$C$28</x:f>
        <x:v>810.0400000000001</x:v>
      </x:c>
      <x:c r="M14" s="132" t="n">
        <x:f>'Hypothèses'!$C$16</x:f>
        <x:v>68</x:v>
      </x:c>
      <x:c r="N14" s="132" t="n">
        <x:f>SUMPRODUCT(('Hypothèses'!$B$38:$B$43='Hypothèses'!$C$6)*($A14='Hypothèses'!$D$38:$D$43))*'Hypothèses'!$C$17</x:f>
        <x:v>1600</x:v>
      </x:c>
      <x:c r="O14" s="132" t="n">
        <x:f>SUM(K14:N14)</x:f>
        <x:v>4164.120000000001</x:v>
      </x:c>
      <x:c r="P14" s="132" t="n">
        <x:f>R13</x:f>
        <x:v>-5328.480000000001</x:v>
      </x:c>
      <x:c r="Q14" s="132" t="n">
        <x:f>I14+J14-O14</x:f>
        <x:v>135.8799999999992</x:v>
      </x:c>
      <x:c r="R14" s="132" t="n">
        <x:f>P14+Q14</x:f>
        <x:v>-5192.600000000002</x:v>
      </x:c>
      <x:c r="S14" s="133" t="n">
        <x:f>H14-O14</x:f>
        <x:v>-1064.1200000000008</x:v>
      </x:c>
    </x:row>
    <x:row r="15">
      <x:c r="A15" s="130" t="n">
        <x:v>10</x:v>
      </x:c>
      <x:c r="B15" s="131" t="n">
        <x:f>SUMPRODUCT(('Hypothèses'!$B$38:$B$43='Hypothèses'!$C$6)*('Hypothèses'!$E$38:$E$43="Helpdesk")*($A15&gt;='Hypothèses'!$D$38:$D$43+'Hypothèses'!$C$22)*'Hypothèses'!$F$38:$F$43)</x:f>
        <x:v>2</x:v>
      </x:c>
      <x:c r="C15" s="131" t="n">
        <x:f>SUMPRODUCT(('Hypothèses'!$B$38:$B$43='Hypothèses'!$C$6)*('Hypothèses'!$E$38:$E$43="Support")*($A15&gt;='Hypothèses'!$D$38:$D$43+'Hypothèses'!$C$22)*'Hypothèses'!$F$38:$F$43)</x:f>
        <x:v>2</x:v>
      </x:c>
      <x:c r="D15" s="131" t="n">
        <x:f>B15+C15</x:f>
        <x:v>4</x:v>
      </x:c>
      <x:c r="E15" s="131" t="n">
        <x:f>IF(B15=0,0,ROUNDUP(B15/'Hypothèses'!$C$23,0))</x:f>
        <x:v>1</x:v>
      </x:c>
      <x:c r="F15" s="131" t="n">
        <x:f>IF(C15=0,0,ROUNDUP(C15/'Hypothèses'!$C$23,0))</x:f>
        <x:v>1</x:v>
      </x:c>
      <x:c r="G15" s="131" t="n">
        <x:f>E15+F15</x:f>
        <x:v>2</x:v>
      </x:c>
      <x:c r="H15" s="132" t="n">
        <x:f>SUMPRODUCT(('Hypothèses'!$B$38:$B$43='Hypothèses'!$C$6)*($A15&gt;='Hypothèses'!$D$38:$D$43+'Hypothèses'!$C$20)*'Hypothèses'!$F$38:$F$43*'Hypothèses'!$I$38:$I$43)-SUMPRODUCT(('Hypothèses'!$B$38:$B$43='Hypothèses'!$C$6)*($A15&gt;='Hypothèses'!$D$38:$D$43+'Hypothèses'!$C$20)*($A15&lt;'Hypothèses'!$D$38:$D$43+'Hypothèses'!$C$20+3)*'Hypothèses'!$F$38:$F$43*'Hypothèses'!$C$19)</x:f>
        <x:v>3100</x:v>
      </x:c>
      <x:c r="I15" s="132" t="n">
        <x:f>SUMPRODUCT(('Hypothèses'!$B$38:$B$43='Hypothèses'!$C$6)*($A15&gt;='Hypothèses'!$D$38:$D$43+'Hypothèses'!$C$20+'Hypothèses'!$C$21)*'Hypothèses'!$F$38:$F$43*'Hypothèses'!$I$38:$I$43)-SUMPRODUCT(('Hypothèses'!$B$38:$B$43='Hypothèses'!$C$6)*($A15&gt;='Hypothèses'!$D$38:$D$43+'Hypothèses'!$C$20+'Hypothèses'!$C$21)*($A15&lt;'Hypothèses'!$D$38:$D$43+'Hypothèses'!$C$20+'Hypothèses'!$C$21+3)*'Hypothèses'!$F$38:$F$43*'Hypothèses'!$C$19)</x:f>
        <x:v>3100</x:v>
      </x:c>
      <x:c r="J15" s="132" t="n">
        <x:f>SUMPRODUCT(('Hypothèses'!$B$38:$B$43='Hypothèses'!$C$6)*($A15='Hypothèses'!$D$38:$D$43)*'Hypothèses'!$F$38:$F$43*'Hypothèses'!$C$18)</x:f>
        <x:v>0</x:v>
      </x:c>
      <x:c r="K15" s="132" t="n">
        <x:f>D15*'Hypothèses'!$C$27</x:f>
        <x:v>3372.1600000000003</x:v>
      </x:c>
      <x:c r="L15" s="132" t="n">
        <x:f>G15*'Hypothèses'!$C$28</x:f>
        <x:v>1620.0800000000002</x:v>
      </x:c>
      <x:c r="M15" s="132" t="n">
        <x:f>'Hypothèses'!$C$16</x:f>
        <x:v>68</x:v>
      </x:c>
      <x:c r="N15" s="132" t="n">
        <x:f>SUMPRODUCT(('Hypothèses'!$B$38:$B$43='Hypothèses'!$C$6)*($A15='Hypothèses'!$D$38:$D$43))*'Hypothèses'!$C$17</x:f>
        <x:v>0</x:v>
      </x:c>
      <x:c r="O15" s="132" t="n">
        <x:f>SUM(K15:N15)</x:f>
        <x:v>5060.240000000001</x:v>
      </x:c>
      <x:c r="P15" s="132" t="n">
        <x:f>R14</x:f>
        <x:v>-5192.600000000002</x:v>
      </x:c>
      <x:c r="Q15" s="132" t="n">
        <x:f>I15+J15-O15</x:f>
        <x:v>-1960.2400000000007</x:v>
      </x:c>
      <x:c r="R15" s="132" t="n">
        <x:f>P15+Q15</x:f>
        <x:v>-7152.840000000003</x:v>
      </x:c>
      <x:c r="S15" s="133" t="n">
        <x:f>H15-O15</x:f>
        <x:v>-1960.2400000000007</x:v>
      </x:c>
    </x:row>
    <x:row r="16">
      <x:c r="A16" s="130" t="n">
        <x:v>11</x:v>
      </x:c>
      <x:c r="B16" s="131" t="n">
        <x:f>SUMPRODUCT(('Hypothèses'!$B$38:$B$43='Hypothèses'!$C$6)*('Hypothèses'!$E$38:$E$43="Helpdesk")*($A16&gt;='Hypothèses'!$D$38:$D$43+'Hypothèses'!$C$22)*'Hypothèses'!$F$38:$F$43)</x:f>
        <x:v>2</x:v>
      </x:c>
      <x:c r="C16" s="131" t="n">
        <x:f>SUMPRODUCT(('Hypothèses'!$B$38:$B$43='Hypothèses'!$C$6)*('Hypothèses'!$E$38:$E$43="Support")*($A16&gt;='Hypothèses'!$D$38:$D$43+'Hypothèses'!$C$22)*'Hypothèses'!$F$38:$F$43)</x:f>
        <x:v>2</x:v>
      </x:c>
      <x:c r="D16" s="131" t="n">
        <x:f>B16+C16</x:f>
        <x:v>4</x:v>
      </x:c>
      <x:c r="E16" s="131" t="n">
        <x:f>IF(B16=0,0,ROUNDUP(B16/'Hypothèses'!$C$23,0))</x:f>
        <x:v>1</x:v>
      </x:c>
      <x:c r="F16" s="131" t="n">
        <x:f>IF(C16=0,0,ROUNDUP(C16/'Hypothèses'!$C$23,0))</x:f>
        <x:v>1</x:v>
      </x:c>
      <x:c r="G16" s="131" t="n">
        <x:f>E16+F16</x:f>
        <x:v>2</x:v>
      </x:c>
      <x:c r="H16" s="132" t="n">
        <x:f>SUMPRODUCT(('Hypothèses'!$B$38:$B$43='Hypothèses'!$C$6)*($A16&gt;='Hypothèses'!$D$38:$D$43+'Hypothèses'!$C$20)*'Hypothèses'!$F$38:$F$43*'Hypothèses'!$I$38:$I$43)-SUMPRODUCT(('Hypothèses'!$B$38:$B$43='Hypothèses'!$C$6)*($A16&gt;='Hypothèses'!$D$38:$D$43+'Hypothèses'!$C$20)*($A16&lt;'Hypothèses'!$D$38:$D$43+'Hypothèses'!$C$20+3)*'Hypothèses'!$F$38:$F$43*'Hypothèses'!$C$19)</x:f>
        <x:v>5200</x:v>
      </x:c>
      <x:c r="I16" s="132" t="n">
        <x:f>SUMPRODUCT(('Hypothèses'!$B$38:$B$43='Hypothèses'!$C$6)*($A16&gt;='Hypothèses'!$D$38:$D$43+'Hypothèses'!$C$20+'Hypothèses'!$C$21)*'Hypothèses'!$F$38:$F$43*'Hypothèses'!$I$38:$I$43)-SUMPRODUCT(('Hypothèses'!$B$38:$B$43='Hypothèses'!$C$6)*($A16&gt;='Hypothèses'!$D$38:$D$43+'Hypothèses'!$C$20+'Hypothèses'!$C$21)*($A16&lt;'Hypothèses'!$D$38:$D$43+'Hypothèses'!$C$20+'Hypothèses'!$C$21+3)*'Hypothèses'!$F$38:$F$43*'Hypothèses'!$C$19)</x:f>
        <x:v>3100</x:v>
      </x:c>
      <x:c r="J16" s="132" t="n">
        <x:f>SUMPRODUCT(('Hypothèses'!$B$38:$B$43='Hypothèses'!$C$6)*($A16='Hypothèses'!$D$38:$D$43)*'Hypothèses'!$F$38:$F$43*'Hypothèses'!$C$18)</x:f>
        <x:v>0</x:v>
      </x:c>
      <x:c r="K16" s="132" t="n">
        <x:f>D16*'Hypothèses'!$C$27</x:f>
        <x:v>3372.1600000000003</x:v>
      </x:c>
      <x:c r="L16" s="132" t="n">
        <x:f>G16*'Hypothèses'!$C$28</x:f>
        <x:v>1620.0800000000002</x:v>
      </x:c>
      <x:c r="M16" s="132" t="n">
        <x:f>'Hypothèses'!$C$16</x:f>
        <x:v>68</x:v>
      </x:c>
      <x:c r="N16" s="132" t="n">
        <x:f>SUMPRODUCT(('Hypothèses'!$B$38:$B$43='Hypothèses'!$C$6)*($A16='Hypothèses'!$D$38:$D$43))*'Hypothèses'!$C$17</x:f>
        <x:v>0</x:v>
      </x:c>
      <x:c r="O16" s="132" t="n">
        <x:f>SUM(K16:N16)</x:f>
        <x:v>5060.240000000001</x:v>
      </x:c>
      <x:c r="P16" s="132" t="n">
        <x:f>R15</x:f>
        <x:v>-7152.840000000003</x:v>
      </x:c>
      <x:c r="Q16" s="132" t="n">
        <x:f>I16+J16-O16</x:f>
        <x:v>-1960.2400000000007</x:v>
      </x:c>
      <x:c r="R16" s="132" t="n">
        <x:f>P16+Q16</x:f>
        <x:v>-9113.080000000004</x:v>
      </x:c>
      <x:c r="S16" s="133" t="n">
        <x:f>H16-O16</x:f>
        <x:v>139.7599999999993</x:v>
      </x:c>
    </x:row>
    <x:row r="17">
      <x:c r="A17" s="130" t="n">
        <x:v>12</x:v>
      </x:c>
      <x:c r="B17" s="131" t="n">
        <x:f>SUMPRODUCT(('Hypothèses'!$B$38:$B$43='Hypothèses'!$C$6)*('Hypothèses'!$E$38:$E$43="Helpdesk")*($A17&gt;='Hypothèses'!$D$38:$D$43+'Hypothèses'!$C$22)*'Hypothèses'!$F$38:$F$43)</x:f>
        <x:v>2</x:v>
      </x:c>
      <x:c r="C17" s="131" t="n">
        <x:f>SUMPRODUCT(('Hypothèses'!$B$38:$B$43='Hypothèses'!$C$6)*('Hypothèses'!$E$38:$E$43="Support")*($A17&gt;='Hypothèses'!$D$38:$D$43+'Hypothèses'!$C$22)*'Hypothèses'!$F$38:$F$43)</x:f>
        <x:v>2</x:v>
      </x:c>
      <x:c r="D17" s="131" t="n">
        <x:f>B17+C17</x:f>
        <x:v>4</x:v>
      </x:c>
      <x:c r="E17" s="131" t="n">
        <x:f>IF(B17=0,0,ROUNDUP(B17/'Hypothèses'!$C$23,0))</x:f>
        <x:v>1</x:v>
      </x:c>
      <x:c r="F17" s="131" t="n">
        <x:f>IF(C17=0,0,ROUNDUP(C17/'Hypothèses'!$C$23,0))</x:f>
        <x:v>1</x:v>
      </x:c>
      <x:c r="G17" s="131" t="n">
        <x:f>E17+F17</x:f>
        <x:v>2</x:v>
      </x:c>
      <x:c r="H17" s="132" t="n">
        <x:f>SUMPRODUCT(('Hypothèses'!$B$38:$B$43='Hypothèses'!$C$6)*($A17&gt;='Hypothèses'!$D$38:$D$43+'Hypothèses'!$C$20)*'Hypothèses'!$F$38:$F$43*'Hypothèses'!$I$38:$I$43)-SUMPRODUCT(('Hypothèses'!$B$38:$B$43='Hypothèses'!$C$6)*($A17&gt;='Hypothèses'!$D$38:$D$43+'Hypothèses'!$C$20)*($A17&lt;'Hypothèses'!$D$38:$D$43+'Hypothèses'!$C$20+3)*'Hypothèses'!$F$38:$F$43*'Hypothèses'!$C$19)</x:f>
        <x:v>5200</x:v>
      </x:c>
      <x:c r="I17" s="132" t="n">
        <x:f>SUMPRODUCT(('Hypothèses'!$B$38:$B$43='Hypothèses'!$C$6)*($A17&gt;='Hypothèses'!$D$38:$D$43+'Hypothèses'!$C$20+'Hypothèses'!$C$21)*'Hypothèses'!$F$38:$F$43*'Hypothèses'!$I$38:$I$43)-SUMPRODUCT(('Hypothèses'!$B$38:$B$43='Hypothèses'!$C$6)*($A17&gt;='Hypothèses'!$D$38:$D$43+'Hypothèses'!$C$20+'Hypothèses'!$C$21)*($A17&lt;'Hypothèses'!$D$38:$D$43+'Hypothèses'!$C$20+'Hypothèses'!$C$21+3)*'Hypothèses'!$F$38:$F$43*'Hypothèses'!$C$19)</x:f>
        <x:v>5200</x:v>
      </x:c>
      <x:c r="J17" s="132" t="n">
        <x:f>SUMPRODUCT(('Hypothèses'!$B$38:$B$43='Hypothèses'!$C$6)*($A17='Hypothèses'!$D$38:$D$43)*'Hypothèses'!$F$38:$F$43*'Hypothèses'!$C$18)</x:f>
        <x:v>0</x:v>
      </x:c>
      <x:c r="K17" s="132" t="n">
        <x:f>D17*'Hypothèses'!$C$27</x:f>
        <x:v>3372.1600000000003</x:v>
      </x:c>
      <x:c r="L17" s="132" t="n">
        <x:f>G17*'Hypothèses'!$C$28</x:f>
        <x:v>1620.0800000000002</x:v>
      </x:c>
      <x:c r="M17" s="132" t="n">
        <x:f>'Hypothèses'!$C$16</x:f>
        <x:v>68</x:v>
      </x:c>
      <x:c r="N17" s="132" t="n">
        <x:f>SUMPRODUCT(('Hypothèses'!$B$38:$B$43='Hypothèses'!$C$6)*($A17='Hypothèses'!$D$38:$D$43))*'Hypothèses'!$C$17</x:f>
        <x:v>0</x:v>
      </x:c>
      <x:c r="O17" s="132" t="n">
        <x:f>SUM(K17:N17)</x:f>
        <x:v>5060.240000000001</x:v>
      </x:c>
      <x:c r="P17" s="132" t="n">
        <x:f>R16</x:f>
        <x:v>-9113.080000000004</x:v>
      </x:c>
      <x:c r="Q17" s="132" t="n">
        <x:f>I17+J17-O17</x:f>
        <x:v>139.7599999999993</x:v>
      </x:c>
      <x:c r="R17" s="132" t="n">
        <x:f>P17+Q17</x:f>
        <x:v>-8973.320000000003</x:v>
      </x:c>
      <x:c r="S17" s="133" t="n">
        <x:f>H17-O17</x:f>
        <x:v>139.7599999999993</x:v>
      </x:c>
    </x:row>
    <x:row r="18">
      <x:c r="A18" s="130" t="n">
        <x:v>13</x:v>
      </x:c>
      <x:c r="B18" s="131" t="n">
        <x:f>SUMPRODUCT(('Hypothèses'!$B$38:$B$43='Hypothèses'!$C$6)*('Hypothèses'!$E$38:$E$43="Helpdesk")*($A18&gt;='Hypothèses'!$D$38:$D$43+'Hypothèses'!$C$22)*'Hypothèses'!$F$38:$F$43)</x:f>
        <x:v>2</x:v>
      </x:c>
      <x:c r="C18" s="131" t="n">
        <x:f>SUMPRODUCT(('Hypothèses'!$B$38:$B$43='Hypothèses'!$C$6)*('Hypothèses'!$E$38:$E$43="Support")*($A18&gt;='Hypothèses'!$D$38:$D$43+'Hypothèses'!$C$22)*'Hypothèses'!$F$38:$F$43)</x:f>
        <x:v>2</x:v>
      </x:c>
      <x:c r="D18" s="131" t="n">
        <x:f>B18+C18</x:f>
        <x:v>4</x:v>
      </x:c>
      <x:c r="E18" s="131" t="n">
        <x:f>IF(B18=0,0,ROUNDUP(B18/'Hypothèses'!$C$23,0))</x:f>
        <x:v>1</x:v>
      </x:c>
      <x:c r="F18" s="131" t="n">
        <x:f>IF(C18=0,0,ROUNDUP(C18/'Hypothèses'!$C$23,0))</x:f>
        <x:v>1</x:v>
      </x:c>
      <x:c r="G18" s="131" t="n">
        <x:f>E18+F18</x:f>
        <x:v>2</x:v>
      </x:c>
      <x:c r="H18" s="132" t="n">
        <x:f>SUMPRODUCT(('Hypothèses'!$B$38:$B$43='Hypothèses'!$C$6)*($A18&gt;='Hypothèses'!$D$38:$D$43+'Hypothèses'!$C$20)*'Hypothèses'!$F$38:$F$43*'Hypothèses'!$I$38:$I$43)-SUMPRODUCT(('Hypothèses'!$B$38:$B$43='Hypothèses'!$C$6)*($A18&gt;='Hypothèses'!$D$38:$D$43+'Hypothèses'!$C$20)*($A18&lt;'Hypothèses'!$D$38:$D$43+'Hypothèses'!$C$20+3)*'Hypothèses'!$F$38:$F$43*'Hypothèses'!$C$19)</x:f>
        <x:v>5200</x:v>
      </x:c>
      <x:c r="I18" s="132" t="n">
        <x:f>SUMPRODUCT(('Hypothèses'!$B$38:$B$43='Hypothèses'!$C$6)*($A18&gt;='Hypothèses'!$D$38:$D$43+'Hypothèses'!$C$20+'Hypothèses'!$C$21)*'Hypothèses'!$F$38:$F$43*'Hypothèses'!$I$38:$I$43)-SUMPRODUCT(('Hypothèses'!$B$38:$B$43='Hypothèses'!$C$6)*($A18&gt;='Hypothèses'!$D$38:$D$43+'Hypothèses'!$C$20+'Hypothèses'!$C$21)*($A18&lt;'Hypothèses'!$D$38:$D$43+'Hypothèses'!$C$20+'Hypothèses'!$C$21+3)*'Hypothèses'!$F$38:$F$43*'Hypothèses'!$C$19)</x:f>
        <x:v>5200</x:v>
      </x:c>
      <x:c r="J18" s="132" t="n">
        <x:f>SUMPRODUCT(('Hypothèses'!$B$38:$B$43='Hypothèses'!$C$6)*($A18='Hypothèses'!$D$38:$D$43)*'Hypothèses'!$F$38:$F$43*'Hypothèses'!$C$18)</x:f>
        <x:v>0</x:v>
      </x:c>
      <x:c r="K18" s="132" t="n">
        <x:f>D18*'Hypothèses'!$C$27</x:f>
        <x:v>3372.1600000000003</x:v>
      </x:c>
      <x:c r="L18" s="132" t="n">
        <x:f>G18*'Hypothèses'!$C$28</x:f>
        <x:v>1620.0800000000002</x:v>
      </x:c>
      <x:c r="M18" s="132" t="n">
        <x:f>'Hypothèses'!$C$16</x:f>
        <x:v>68</x:v>
      </x:c>
      <x:c r="N18" s="132" t="n">
        <x:f>SUMPRODUCT(('Hypothèses'!$B$38:$B$43='Hypothèses'!$C$6)*($A18='Hypothèses'!$D$38:$D$43))*'Hypothèses'!$C$17</x:f>
        <x:v>0</x:v>
      </x:c>
      <x:c r="O18" s="132" t="n">
        <x:f>SUM(K18:N18)</x:f>
        <x:v>5060.240000000001</x:v>
      </x:c>
      <x:c r="P18" s="132" t="n">
        <x:f>R17</x:f>
        <x:v>-8973.320000000003</x:v>
      </x:c>
      <x:c r="Q18" s="132" t="n">
        <x:f>I18+J18-O18</x:f>
        <x:v>139.7599999999993</x:v>
      </x:c>
      <x:c r="R18" s="132" t="n">
        <x:f>P18+Q18</x:f>
        <x:v>-8833.560000000005</x:v>
      </x:c>
      <x:c r="S18" s="133" t="n">
        <x:f>H18-O18</x:f>
        <x:v>139.7599999999993</x:v>
      </x:c>
    </x:row>
    <x:row r="19">
      <x:c r="A19" s="130" t="n">
        <x:v>14</x:v>
      </x:c>
      <x:c r="B19" s="131" t="n">
        <x:f>SUMPRODUCT(('Hypothèses'!$B$38:$B$43='Hypothèses'!$C$6)*('Hypothèses'!$E$38:$E$43="Helpdesk")*($A19&gt;='Hypothèses'!$D$38:$D$43+'Hypothèses'!$C$22)*'Hypothèses'!$F$38:$F$43)</x:f>
        <x:v>2</x:v>
      </x:c>
      <x:c r="C19" s="131" t="n">
        <x:f>SUMPRODUCT(('Hypothèses'!$B$38:$B$43='Hypothèses'!$C$6)*('Hypothèses'!$E$38:$E$43="Support")*($A19&gt;='Hypothèses'!$D$38:$D$43+'Hypothèses'!$C$22)*'Hypothèses'!$F$38:$F$43)</x:f>
        <x:v>2</x:v>
      </x:c>
      <x:c r="D19" s="131" t="n">
        <x:f>B19+C19</x:f>
        <x:v>4</x:v>
      </x:c>
      <x:c r="E19" s="131" t="n">
        <x:f>IF(B19=0,0,ROUNDUP(B19/'Hypothèses'!$C$23,0))</x:f>
        <x:v>1</x:v>
      </x:c>
      <x:c r="F19" s="131" t="n">
        <x:f>IF(C19=0,0,ROUNDUP(C19/'Hypothèses'!$C$23,0))</x:f>
        <x:v>1</x:v>
      </x:c>
      <x:c r="G19" s="131" t="n">
        <x:f>E19+F19</x:f>
        <x:v>2</x:v>
      </x:c>
      <x:c r="H19" s="132" t="n">
        <x:f>SUMPRODUCT(('Hypothèses'!$B$38:$B$43='Hypothèses'!$C$6)*($A19&gt;='Hypothèses'!$D$38:$D$43+'Hypothèses'!$C$20)*'Hypothèses'!$F$38:$F$43*'Hypothèses'!$I$38:$I$43)-SUMPRODUCT(('Hypothèses'!$B$38:$B$43='Hypothèses'!$C$6)*($A19&gt;='Hypothèses'!$D$38:$D$43+'Hypothèses'!$C$20)*($A19&lt;'Hypothèses'!$D$38:$D$43+'Hypothèses'!$C$20+3)*'Hypothèses'!$F$38:$F$43*'Hypothèses'!$C$19)</x:f>
        <x:v>5800</x:v>
      </x:c>
      <x:c r="I19" s="132" t="n">
        <x:f>SUMPRODUCT(('Hypothèses'!$B$38:$B$43='Hypothèses'!$C$6)*($A19&gt;='Hypothèses'!$D$38:$D$43+'Hypothèses'!$C$20+'Hypothèses'!$C$21)*'Hypothèses'!$F$38:$F$43*'Hypothèses'!$I$38:$I$43)-SUMPRODUCT(('Hypothèses'!$B$38:$B$43='Hypothèses'!$C$6)*($A19&gt;='Hypothèses'!$D$38:$D$43+'Hypothèses'!$C$20+'Hypothèses'!$C$21)*($A19&lt;'Hypothèses'!$D$38:$D$43+'Hypothèses'!$C$20+'Hypothèses'!$C$21+3)*'Hypothèses'!$F$38:$F$43*'Hypothèses'!$C$19)</x:f>
        <x:v>5200</x:v>
      </x:c>
      <x:c r="J19" s="132" t="n">
        <x:f>SUMPRODUCT(('Hypothèses'!$B$38:$B$43='Hypothèses'!$C$6)*($A19='Hypothèses'!$D$38:$D$43)*'Hypothèses'!$F$38:$F$43*'Hypothèses'!$C$18)</x:f>
        <x:v>0</x:v>
      </x:c>
      <x:c r="K19" s="132" t="n">
        <x:f>D19*'Hypothèses'!$C$27</x:f>
        <x:v>3372.1600000000003</x:v>
      </x:c>
      <x:c r="L19" s="132" t="n">
        <x:f>G19*'Hypothèses'!$C$28</x:f>
        <x:v>1620.0800000000002</x:v>
      </x:c>
      <x:c r="M19" s="132" t="n">
        <x:f>'Hypothèses'!$C$16</x:f>
        <x:v>68</x:v>
      </x:c>
      <x:c r="N19" s="132" t="n">
        <x:f>SUMPRODUCT(('Hypothèses'!$B$38:$B$43='Hypothèses'!$C$6)*($A19='Hypothèses'!$D$38:$D$43))*'Hypothèses'!$C$17</x:f>
        <x:v>0</x:v>
      </x:c>
      <x:c r="O19" s="132" t="n">
        <x:f>SUM(K19:N19)</x:f>
        <x:v>5060.240000000001</x:v>
      </x:c>
      <x:c r="P19" s="132" t="n">
        <x:f>R18</x:f>
        <x:v>-8833.560000000005</x:v>
      </x:c>
      <x:c r="Q19" s="132" t="n">
        <x:f>I19+J19-O19</x:f>
        <x:v>139.7599999999993</x:v>
      </x:c>
      <x:c r="R19" s="132" t="n">
        <x:f>P19+Q19</x:f>
        <x:v>-8693.800000000007</x:v>
      </x:c>
      <x:c r="S19" s="133" t="n">
        <x:f>H19-O19</x:f>
        <x:v>739.7599999999993</x:v>
      </x:c>
    </x:row>
    <x:row r="20">
      <x:c r="A20" s="130" t="n">
        <x:v>15</x:v>
      </x:c>
      <x:c r="B20" s="131" t="n">
        <x:f>SUMPRODUCT(('Hypothèses'!$B$38:$B$43='Hypothèses'!$C$6)*('Hypothèses'!$E$38:$E$43="Helpdesk")*($A20&gt;='Hypothèses'!$D$38:$D$43+'Hypothèses'!$C$22)*'Hypothèses'!$F$38:$F$43)</x:f>
        <x:v>2</x:v>
      </x:c>
      <x:c r="C20" s="131" t="n">
        <x:f>SUMPRODUCT(('Hypothèses'!$B$38:$B$43='Hypothèses'!$C$6)*('Hypothèses'!$E$38:$E$43="Support")*($A20&gt;='Hypothèses'!$D$38:$D$43+'Hypothèses'!$C$22)*'Hypothèses'!$F$38:$F$43)</x:f>
        <x:v>2</x:v>
      </x:c>
      <x:c r="D20" s="131" t="n">
        <x:f>B20+C20</x:f>
        <x:v>4</x:v>
      </x:c>
      <x:c r="E20" s="131" t="n">
        <x:f>IF(B20=0,0,ROUNDUP(B20/'Hypothèses'!$C$23,0))</x:f>
        <x:v>1</x:v>
      </x:c>
      <x:c r="F20" s="131" t="n">
        <x:f>IF(C20=0,0,ROUNDUP(C20/'Hypothèses'!$C$23,0))</x:f>
        <x:v>1</x:v>
      </x:c>
      <x:c r="G20" s="131" t="n">
        <x:f>E20+F20</x:f>
        <x:v>2</x:v>
      </x:c>
      <x:c r="H20" s="132" t="n">
        <x:f>SUMPRODUCT(('Hypothèses'!$B$38:$B$43='Hypothèses'!$C$6)*($A20&gt;='Hypothèses'!$D$38:$D$43+'Hypothèses'!$C$20)*'Hypothèses'!$F$38:$F$43*'Hypothèses'!$I$38:$I$43)-SUMPRODUCT(('Hypothèses'!$B$38:$B$43='Hypothèses'!$C$6)*($A20&gt;='Hypothèses'!$D$38:$D$43+'Hypothèses'!$C$20)*($A20&lt;'Hypothèses'!$D$38:$D$43+'Hypothèses'!$C$20+3)*'Hypothèses'!$F$38:$F$43*'Hypothèses'!$C$19)</x:f>
        <x:v>5800</x:v>
      </x:c>
      <x:c r="I20" s="132" t="n">
        <x:f>SUMPRODUCT(('Hypothèses'!$B$38:$B$43='Hypothèses'!$C$6)*($A20&gt;='Hypothèses'!$D$38:$D$43+'Hypothèses'!$C$20+'Hypothèses'!$C$21)*'Hypothèses'!$F$38:$F$43*'Hypothèses'!$I$38:$I$43)-SUMPRODUCT(('Hypothèses'!$B$38:$B$43='Hypothèses'!$C$6)*($A20&gt;='Hypothèses'!$D$38:$D$43+'Hypothèses'!$C$20+'Hypothèses'!$C$21)*($A20&lt;'Hypothèses'!$D$38:$D$43+'Hypothèses'!$C$20+'Hypothèses'!$C$21+3)*'Hypothèses'!$F$38:$F$43*'Hypothèses'!$C$19)</x:f>
        <x:v>5800</x:v>
      </x:c>
      <x:c r="J20" s="132" t="n">
        <x:f>SUMPRODUCT(('Hypothèses'!$B$38:$B$43='Hypothèses'!$C$6)*($A20='Hypothèses'!$D$38:$D$43)*'Hypothèses'!$F$38:$F$43*'Hypothèses'!$C$18)</x:f>
        <x:v>0</x:v>
      </x:c>
      <x:c r="K20" s="132" t="n">
        <x:f>D20*'Hypothèses'!$C$27</x:f>
        <x:v>3372.1600000000003</x:v>
      </x:c>
      <x:c r="L20" s="132" t="n">
        <x:f>G20*'Hypothèses'!$C$28</x:f>
        <x:v>1620.0800000000002</x:v>
      </x:c>
      <x:c r="M20" s="132" t="n">
        <x:f>'Hypothèses'!$C$16</x:f>
        <x:v>68</x:v>
      </x:c>
      <x:c r="N20" s="132" t="n">
        <x:f>SUMPRODUCT(('Hypothèses'!$B$38:$B$43='Hypothèses'!$C$6)*($A20='Hypothèses'!$D$38:$D$43))*'Hypothèses'!$C$17</x:f>
        <x:v>0</x:v>
      </x:c>
      <x:c r="O20" s="132" t="n">
        <x:f>SUM(K20:N20)</x:f>
        <x:v>5060.240000000001</x:v>
      </x:c>
      <x:c r="P20" s="132" t="n">
        <x:f>R19</x:f>
        <x:v>-8693.800000000007</x:v>
      </x:c>
      <x:c r="Q20" s="132" t="n">
        <x:f>I20+J20-O20</x:f>
        <x:v>739.7599999999993</x:v>
      </x:c>
      <x:c r="R20" s="132" t="n">
        <x:f>P20+Q20</x:f>
        <x:v>-7954.040000000007</x:v>
      </x:c>
      <x:c r="S20" s="133" t="n">
        <x:f>H20-O20</x:f>
        <x:v>739.7599999999993</x:v>
      </x:c>
    </x:row>
    <x:row r="21">
      <x:c r="A21" s="130" t="n">
        <x:v>16</x:v>
      </x:c>
      <x:c r="B21" s="131" t="n">
        <x:f>SUMPRODUCT(('Hypothèses'!$B$38:$B$43='Hypothèses'!$C$6)*('Hypothèses'!$E$38:$E$43="Helpdesk")*($A21&gt;='Hypothèses'!$D$38:$D$43+'Hypothèses'!$C$22)*'Hypothèses'!$F$38:$F$43)</x:f>
        <x:v>2</x:v>
      </x:c>
      <x:c r="C21" s="131" t="n">
        <x:f>SUMPRODUCT(('Hypothèses'!$B$38:$B$43='Hypothèses'!$C$6)*('Hypothèses'!$E$38:$E$43="Support")*($A21&gt;='Hypothèses'!$D$38:$D$43+'Hypothèses'!$C$22)*'Hypothèses'!$F$38:$F$43)</x:f>
        <x:v>2</x:v>
      </x:c>
      <x:c r="D21" s="131" t="n">
        <x:f>B21+C21</x:f>
        <x:v>4</x:v>
      </x:c>
      <x:c r="E21" s="131" t="n">
        <x:f>IF(B21=0,0,ROUNDUP(B21/'Hypothèses'!$C$23,0))</x:f>
        <x:v>1</x:v>
      </x:c>
      <x:c r="F21" s="131" t="n">
        <x:f>IF(C21=0,0,ROUNDUP(C21/'Hypothèses'!$C$23,0))</x:f>
        <x:v>1</x:v>
      </x:c>
      <x:c r="G21" s="131" t="n">
        <x:f>E21+F21</x:f>
        <x:v>2</x:v>
      </x:c>
      <x:c r="H21" s="132" t="n">
        <x:f>SUMPRODUCT(('Hypothèses'!$B$38:$B$43='Hypothèses'!$C$6)*($A21&gt;='Hypothèses'!$D$38:$D$43+'Hypothèses'!$C$20)*'Hypothèses'!$F$38:$F$43*'Hypothèses'!$I$38:$I$43)-SUMPRODUCT(('Hypothèses'!$B$38:$B$43='Hypothèses'!$C$6)*($A21&gt;='Hypothèses'!$D$38:$D$43+'Hypothèses'!$C$20)*($A21&lt;'Hypothèses'!$D$38:$D$43+'Hypothèses'!$C$20+3)*'Hypothèses'!$F$38:$F$43*'Hypothèses'!$C$19)</x:f>
        <x:v>5800</x:v>
      </x:c>
      <x:c r="I21" s="132" t="n">
        <x:f>SUMPRODUCT(('Hypothèses'!$B$38:$B$43='Hypothèses'!$C$6)*($A21&gt;='Hypothèses'!$D$38:$D$43+'Hypothèses'!$C$20+'Hypothèses'!$C$21)*'Hypothèses'!$F$38:$F$43*'Hypothèses'!$I$38:$I$43)-SUMPRODUCT(('Hypothèses'!$B$38:$B$43='Hypothèses'!$C$6)*($A21&gt;='Hypothèses'!$D$38:$D$43+'Hypothèses'!$C$20+'Hypothèses'!$C$21)*($A21&lt;'Hypothèses'!$D$38:$D$43+'Hypothèses'!$C$20+'Hypothèses'!$C$21+3)*'Hypothèses'!$F$38:$F$43*'Hypothèses'!$C$19)</x:f>
        <x:v>5800</x:v>
      </x:c>
      <x:c r="J21" s="132" t="n">
        <x:f>SUMPRODUCT(('Hypothèses'!$B$38:$B$43='Hypothèses'!$C$6)*($A21='Hypothèses'!$D$38:$D$43)*'Hypothèses'!$F$38:$F$43*'Hypothèses'!$C$18)</x:f>
        <x:v>0</x:v>
      </x:c>
      <x:c r="K21" s="132" t="n">
        <x:f>D21*'Hypothèses'!$C$27</x:f>
        <x:v>3372.1600000000003</x:v>
      </x:c>
      <x:c r="L21" s="132" t="n">
        <x:f>G21*'Hypothèses'!$C$28</x:f>
        <x:v>1620.0800000000002</x:v>
      </x:c>
      <x:c r="M21" s="132" t="n">
        <x:f>'Hypothèses'!$C$16</x:f>
        <x:v>68</x:v>
      </x:c>
      <x:c r="N21" s="132" t="n">
        <x:f>SUMPRODUCT(('Hypothèses'!$B$38:$B$43='Hypothèses'!$C$6)*($A21='Hypothèses'!$D$38:$D$43))*'Hypothèses'!$C$17</x:f>
        <x:v>0</x:v>
      </x:c>
      <x:c r="O21" s="132" t="n">
        <x:f>SUM(K21:N21)</x:f>
        <x:v>5060.240000000001</x:v>
      </x:c>
      <x:c r="P21" s="132" t="n">
        <x:f>R20</x:f>
        <x:v>-7954.040000000007</x:v>
      </x:c>
      <x:c r="Q21" s="132" t="n">
        <x:f>I21+J21-O21</x:f>
        <x:v>739.7599999999993</x:v>
      </x:c>
      <x:c r="R21" s="132" t="n">
        <x:f>P21+Q21</x:f>
        <x:v>-7214.280000000008</x:v>
      </x:c>
      <x:c r="S21" s="133" t="n">
        <x:f>H21-O21</x:f>
        <x:v>739.7599999999993</x:v>
      </x:c>
    </x:row>
    <x:row r="22">
      <x:c r="A22" s="130" t="n">
        <x:v>17</x:v>
      </x:c>
      <x:c r="B22" s="131" t="n">
        <x:f>SUMPRODUCT(('Hypothèses'!$B$38:$B$43='Hypothèses'!$C$6)*('Hypothèses'!$E$38:$E$43="Helpdesk")*($A22&gt;='Hypothèses'!$D$38:$D$43+'Hypothèses'!$C$22)*'Hypothèses'!$F$38:$F$43)</x:f>
        <x:v>2</x:v>
      </x:c>
      <x:c r="C22" s="131" t="n">
        <x:f>SUMPRODUCT(('Hypothèses'!$B$38:$B$43='Hypothèses'!$C$6)*('Hypothèses'!$E$38:$E$43="Support")*($A22&gt;='Hypothèses'!$D$38:$D$43+'Hypothèses'!$C$22)*'Hypothèses'!$F$38:$F$43)</x:f>
        <x:v>2</x:v>
      </x:c>
      <x:c r="D22" s="131" t="n">
        <x:f>B22+C22</x:f>
        <x:v>4</x:v>
      </x:c>
      <x:c r="E22" s="131" t="n">
        <x:f>IF(B22=0,0,ROUNDUP(B22/'Hypothèses'!$C$23,0))</x:f>
        <x:v>1</x:v>
      </x:c>
      <x:c r="F22" s="131" t="n">
        <x:f>IF(C22=0,0,ROUNDUP(C22/'Hypothèses'!$C$23,0))</x:f>
        <x:v>1</x:v>
      </x:c>
      <x:c r="G22" s="131" t="n">
        <x:f>E22+F22</x:f>
        <x:v>2</x:v>
      </x:c>
      <x:c r="H22" s="132" t="n">
        <x:f>SUMPRODUCT(('Hypothèses'!$B$38:$B$43='Hypothèses'!$C$6)*($A22&gt;='Hypothèses'!$D$38:$D$43+'Hypothèses'!$C$20)*'Hypothèses'!$F$38:$F$43*'Hypothèses'!$I$38:$I$43)-SUMPRODUCT(('Hypothèses'!$B$38:$B$43='Hypothèses'!$C$6)*($A22&gt;='Hypothèses'!$D$38:$D$43+'Hypothèses'!$C$20)*($A22&lt;'Hypothèses'!$D$38:$D$43+'Hypothèses'!$C$20+3)*'Hypothèses'!$F$38:$F$43*'Hypothèses'!$C$19)</x:f>
        <x:v>5800</x:v>
      </x:c>
      <x:c r="I22" s="132" t="n">
        <x:f>SUMPRODUCT(('Hypothèses'!$B$38:$B$43='Hypothèses'!$C$6)*($A22&gt;='Hypothèses'!$D$38:$D$43+'Hypothèses'!$C$20+'Hypothèses'!$C$21)*'Hypothèses'!$F$38:$F$43*'Hypothèses'!$I$38:$I$43)-SUMPRODUCT(('Hypothèses'!$B$38:$B$43='Hypothèses'!$C$6)*($A22&gt;='Hypothèses'!$D$38:$D$43+'Hypothèses'!$C$20+'Hypothèses'!$C$21)*($A22&lt;'Hypothèses'!$D$38:$D$43+'Hypothèses'!$C$20+'Hypothèses'!$C$21+3)*'Hypothèses'!$F$38:$F$43*'Hypothèses'!$C$19)</x:f>
        <x:v>5800</x:v>
      </x:c>
      <x:c r="J22" s="132" t="n">
        <x:f>SUMPRODUCT(('Hypothèses'!$B$38:$B$43='Hypothèses'!$C$6)*($A22='Hypothèses'!$D$38:$D$43)*'Hypothèses'!$F$38:$F$43*'Hypothèses'!$C$18)</x:f>
        <x:v>0</x:v>
      </x:c>
      <x:c r="K22" s="132" t="n">
        <x:f>D22*'Hypothèses'!$C$27</x:f>
        <x:v>3372.1600000000003</x:v>
      </x:c>
      <x:c r="L22" s="132" t="n">
        <x:f>G22*'Hypothèses'!$C$28</x:f>
        <x:v>1620.0800000000002</x:v>
      </x:c>
      <x:c r="M22" s="132" t="n">
        <x:f>'Hypothèses'!$C$16</x:f>
        <x:v>68</x:v>
      </x:c>
      <x:c r="N22" s="132" t="n">
        <x:f>SUMPRODUCT(('Hypothèses'!$B$38:$B$43='Hypothèses'!$C$6)*($A22='Hypothèses'!$D$38:$D$43))*'Hypothèses'!$C$17</x:f>
        <x:v>0</x:v>
      </x:c>
      <x:c r="O22" s="132" t="n">
        <x:f>SUM(K22:N22)</x:f>
        <x:v>5060.240000000001</x:v>
      </x:c>
      <x:c r="P22" s="132" t="n">
        <x:f>R21</x:f>
        <x:v>-7214.280000000008</x:v>
      </x:c>
      <x:c r="Q22" s="132" t="n">
        <x:f>I22+J22-O22</x:f>
        <x:v>739.7599999999993</x:v>
      </x:c>
      <x:c r="R22" s="132" t="n">
        <x:f>P22+Q22</x:f>
        <x:v>-6474.520000000009</x:v>
      </x:c>
      <x:c r="S22" s="133" t="n">
        <x:f>H22-O22</x:f>
        <x:v>739.7599999999993</x:v>
      </x:c>
    </x:row>
    <x:row r="23">
      <x:c r="A23" s="130" t="n">
        <x:v>18</x:v>
      </x:c>
      <x:c r="B23" s="131" t="n">
        <x:f>SUMPRODUCT(('Hypothèses'!$B$38:$B$43='Hypothèses'!$C$6)*('Hypothèses'!$E$38:$E$43="Helpdesk")*($A23&gt;='Hypothèses'!$D$38:$D$43+'Hypothèses'!$C$22)*'Hypothèses'!$F$38:$F$43)</x:f>
        <x:v>2</x:v>
      </x:c>
      <x:c r="C23" s="131" t="n">
        <x:f>SUMPRODUCT(('Hypothèses'!$B$38:$B$43='Hypothèses'!$C$6)*('Hypothèses'!$E$38:$E$43="Support")*($A23&gt;='Hypothèses'!$D$38:$D$43+'Hypothèses'!$C$22)*'Hypothèses'!$F$38:$F$43)</x:f>
        <x:v>2</x:v>
      </x:c>
      <x:c r="D23" s="131" t="n">
        <x:f>B23+C23</x:f>
        <x:v>4</x:v>
      </x:c>
      <x:c r="E23" s="131" t="n">
        <x:f>IF(B23=0,0,ROUNDUP(B23/'Hypothèses'!$C$23,0))</x:f>
        <x:v>1</x:v>
      </x:c>
      <x:c r="F23" s="131" t="n">
        <x:f>IF(C23=0,0,ROUNDUP(C23/'Hypothèses'!$C$23,0))</x:f>
        <x:v>1</x:v>
      </x:c>
      <x:c r="G23" s="131" t="n">
        <x:f>E23+F23</x:f>
        <x:v>2</x:v>
      </x:c>
      <x:c r="H23" s="132" t="n">
        <x:f>SUMPRODUCT(('Hypothèses'!$B$38:$B$43='Hypothèses'!$C$6)*($A23&gt;='Hypothèses'!$D$38:$D$43+'Hypothèses'!$C$20)*'Hypothèses'!$F$38:$F$43*'Hypothèses'!$I$38:$I$43)-SUMPRODUCT(('Hypothèses'!$B$38:$B$43='Hypothèses'!$C$6)*($A23&gt;='Hypothèses'!$D$38:$D$43+'Hypothèses'!$C$20)*($A23&lt;'Hypothèses'!$D$38:$D$43+'Hypothèses'!$C$20+3)*'Hypothèses'!$F$38:$F$43*'Hypothèses'!$C$19)</x:f>
        <x:v>5800</x:v>
      </x:c>
      <x:c r="I23" s="132" t="n">
        <x:f>SUMPRODUCT(('Hypothèses'!$B$38:$B$43='Hypothèses'!$C$6)*($A23&gt;='Hypothèses'!$D$38:$D$43+'Hypothèses'!$C$20+'Hypothèses'!$C$21)*'Hypothèses'!$F$38:$F$43*'Hypothèses'!$I$38:$I$43)-SUMPRODUCT(('Hypothèses'!$B$38:$B$43='Hypothèses'!$C$6)*($A23&gt;='Hypothèses'!$D$38:$D$43+'Hypothèses'!$C$20+'Hypothèses'!$C$21)*($A23&lt;'Hypothèses'!$D$38:$D$43+'Hypothèses'!$C$20+'Hypothèses'!$C$21+3)*'Hypothèses'!$F$38:$F$43*'Hypothèses'!$C$19)</x:f>
        <x:v>5800</x:v>
      </x:c>
      <x:c r="J23" s="132" t="n">
        <x:f>SUMPRODUCT(('Hypothèses'!$B$38:$B$43='Hypothèses'!$C$6)*($A23='Hypothèses'!$D$38:$D$43)*'Hypothèses'!$F$38:$F$43*'Hypothèses'!$C$18)</x:f>
        <x:v>0</x:v>
      </x:c>
      <x:c r="K23" s="132" t="n">
        <x:f>D23*'Hypothèses'!$C$27</x:f>
        <x:v>3372.1600000000003</x:v>
      </x:c>
      <x:c r="L23" s="132" t="n">
        <x:f>G23*'Hypothèses'!$C$28</x:f>
        <x:v>1620.0800000000002</x:v>
      </x:c>
      <x:c r="M23" s="132" t="n">
        <x:f>'Hypothèses'!$C$16</x:f>
        <x:v>68</x:v>
      </x:c>
      <x:c r="N23" s="132" t="n">
        <x:f>SUMPRODUCT(('Hypothèses'!$B$38:$B$43='Hypothèses'!$C$6)*($A23='Hypothèses'!$D$38:$D$43))*'Hypothèses'!$C$17</x:f>
        <x:v>0</x:v>
      </x:c>
      <x:c r="O23" s="132" t="n">
        <x:f>SUM(K23:N23)</x:f>
        <x:v>5060.240000000001</x:v>
      </x:c>
      <x:c r="P23" s="132" t="n">
        <x:f>R22</x:f>
        <x:v>-6474.520000000009</x:v>
      </x:c>
      <x:c r="Q23" s="132" t="n">
        <x:f>I23+J23-O23</x:f>
        <x:v>739.7599999999993</x:v>
      </x:c>
      <x:c r="R23" s="132" t="n">
        <x:f>P23+Q23</x:f>
        <x:v>-5734.760000000009</x:v>
      </x:c>
      <x:c r="S23" s="133" t="n">
        <x:f>H23-O23</x:f>
        <x:v>739.7599999999993</x:v>
      </x:c>
    </x:row>
    <x:row r="24">
      <x:c r="A24" s="130" t="n">
        <x:v>19</x:v>
      </x:c>
      <x:c r="B24" s="131" t="n">
        <x:f>SUMPRODUCT(('Hypothèses'!$B$38:$B$43='Hypothèses'!$C$6)*('Hypothèses'!$E$38:$E$43="Helpdesk")*($A24&gt;='Hypothèses'!$D$38:$D$43+'Hypothèses'!$C$22)*'Hypothèses'!$F$38:$F$43)</x:f>
        <x:v>2</x:v>
      </x:c>
      <x:c r="C24" s="131" t="n">
        <x:f>SUMPRODUCT(('Hypothèses'!$B$38:$B$43='Hypothèses'!$C$6)*('Hypothèses'!$E$38:$E$43="Support")*($A24&gt;='Hypothèses'!$D$38:$D$43+'Hypothèses'!$C$22)*'Hypothèses'!$F$38:$F$43)</x:f>
        <x:v>2</x:v>
      </x:c>
      <x:c r="D24" s="131" t="n">
        <x:f>B24+C24</x:f>
        <x:v>4</x:v>
      </x:c>
      <x:c r="E24" s="131" t="n">
        <x:f>IF(B24=0,0,ROUNDUP(B24/'Hypothèses'!$C$23,0))</x:f>
        <x:v>1</x:v>
      </x:c>
      <x:c r="F24" s="131" t="n">
        <x:f>IF(C24=0,0,ROUNDUP(C24/'Hypothèses'!$C$23,0))</x:f>
        <x:v>1</x:v>
      </x:c>
      <x:c r="G24" s="131" t="n">
        <x:f>E24+F24</x:f>
        <x:v>2</x:v>
      </x:c>
      <x:c r="H24" s="132" t="n">
        <x:f>SUMPRODUCT(('Hypothèses'!$B$38:$B$43='Hypothèses'!$C$6)*($A24&gt;='Hypothèses'!$D$38:$D$43+'Hypothèses'!$C$20)*'Hypothèses'!$F$38:$F$43*'Hypothèses'!$I$38:$I$43)-SUMPRODUCT(('Hypothèses'!$B$38:$B$43='Hypothèses'!$C$6)*($A24&gt;='Hypothèses'!$D$38:$D$43+'Hypothèses'!$C$20)*($A24&lt;'Hypothèses'!$D$38:$D$43+'Hypothèses'!$C$20+3)*'Hypothèses'!$F$38:$F$43*'Hypothèses'!$C$19)</x:f>
        <x:v>5800</x:v>
      </x:c>
      <x:c r="I24" s="132" t="n">
        <x:f>SUMPRODUCT(('Hypothèses'!$B$38:$B$43='Hypothèses'!$C$6)*($A24&gt;='Hypothèses'!$D$38:$D$43+'Hypothèses'!$C$20+'Hypothèses'!$C$21)*'Hypothèses'!$F$38:$F$43*'Hypothèses'!$I$38:$I$43)-SUMPRODUCT(('Hypothèses'!$B$38:$B$43='Hypothèses'!$C$6)*($A24&gt;='Hypothèses'!$D$38:$D$43+'Hypothèses'!$C$20+'Hypothèses'!$C$21)*($A24&lt;'Hypothèses'!$D$38:$D$43+'Hypothèses'!$C$20+'Hypothèses'!$C$21+3)*'Hypothèses'!$F$38:$F$43*'Hypothèses'!$C$19)</x:f>
        <x:v>5800</x:v>
      </x:c>
      <x:c r="J24" s="132" t="n">
        <x:f>SUMPRODUCT(('Hypothèses'!$B$38:$B$43='Hypothèses'!$C$6)*($A24='Hypothèses'!$D$38:$D$43)*'Hypothèses'!$F$38:$F$43*'Hypothèses'!$C$18)</x:f>
        <x:v>0</x:v>
      </x:c>
      <x:c r="K24" s="132" t="n">
        <x:f>D24*'Hypothèses'!$C$27</x:f>
        <x:v>3372.1600000000003</x:v>
      </x:c>
      <x:c r="L24" s="132" t="n">
        <x:f>G24*'Hypothèses'!$C$28</x:f>
        <x:v>1620.0800000000002</x:v>
      </x:c>
      <x:c r="M24" s="132" t="n">
        <x:f>'Hypothèses'!$C$16</x:f>
        <x:v>68</x:v>
      </x:c>
      <x:c r="N24" s="132" t="n">
        <x:f>SUMPRODUCT(('Hypothèses'!$B$38:$B$43='Hypothèses'!$C$6)*($A24='Hypothèses'!$D$38:$D$43))*'Hypothèses'!$C$17</x:f>
        <x:v>0</x:v>
      </x:c>
      <x:c r="O24" s="132" t="n">
        <x:f>SUM(K24:N24)</x:f>
        <x:v>5060.240000000001</x:v>
      </x:c>
      <x:c r="P24" s="132" t="n">
        <x:f>R23</x:f>
        <x:v>-5734.760000000009</x:v>
      </x:c>
      <x:c r="Q24" s="132" t="n">
        <x:f>I24+J24-O24</x:f>
        <x:v>739.7599999999993</x:v>
      </x:c>
      <x:c r="R24" s="132" t="n">
        <x:f>P24+Q24</x:f>
        <x:v>-4995.00000000001</x:v>
      </x:c>
      <x:c r="S24" s="133" t="n">
        <x:f>H24-O24</x:f>
        <x:v>739.7599999999993</x:v>
      </x:c>
    </x:row>
    <x:row r="25">
      <x:c r="A25" s="130" t="n">
        <x:v>20</x:v>
      </x:c>
      <x:c r="B25" s="131" t="n">
        <x:f>SUMPRODUCT(('Hypothèses'!$B$38:$B$43='Hypothèses'!$C$6)*('Hypothèses'!$E$38:$E$43="Helpdesk")*($A25&gt;='Hypothèses'!$D$38:$D$43+'Hypothèses'!$C$22)*'Hypothèses'!$F$38:$F$43)</x:f>
        <x:v>2</x:v>
      </x:c>
      <x:c r="C25" s="131" t="n">
        <x:f>SUMPRODUCT(('Hypothèses'!$B$38:$B$43='Hypothèses'!$C$6)*('Hypothèses'!$E$38:$E$43="Support")*($A25&gt;='Hypothèses'!$D$38:$D$43+'Hypothèses'!$C$22)*'Hypothèses'!$F$38:$F$43)</x:f>
        <x:v>2</x:v>
      </x:c>
      <x:c r="D25" s="131" t="n">
        <x:f>B25+C25</x:f>
        <x:v>4</x:v>
      </x:c>
      <x:c r="E25" s="131" t="n">
        <x:f>IF(B25=0,0,ROUNDUP(B25/'Hypothèses'!$C$23,0))</x:f>
        <x:v>1</x:v>
      </x:c>
      <x:c r="F25" s="131" t="n">
        <x:f>IF(C25=0,0,ROUNDUP(C25/'Hypothèses'!$C$23,0))</x:f>
        <x:v>1</x:v>
      </x:c>
      <x:c r="G25" s="131" t="n">
        <x:f>E25+F25</x:f>
        <x:v>2</x:v>
      </x:c>
      <x:c r="H25" s="132" t="n">
        <x:f>SUMPRODUCT(('Hypothèses'!$B$38:$B$43='Hypothèses'!$C$6)*($A25&gt;='Hypothèses'!$D$38:$D$43+'Hypothèses'!$C$20)*'Hypothèses'!$F$38:$F$43*'Hypothèses'!$I$38:$I$43)-SUMPRODUCT(('Hypothèses'!$B$38:$B$43='Hypothèses'!$C$6)*($A25&gt;='Hypothèses'!$D$38:$D$43+'Hypothèses'!$C$20)*($A25&lt;'Hypothèses'!$D$38:$D$43+'Hypothèses'!$C$20+3)*'Hypothèses'!$F$38:$F$43*'Hypothèses'!$C$19)</x:f>
        <x:v>5800</x:v>
      </x:c>
      <x:c r="I25" s="132" t="n">
        <x:f>SUMPRODUCT(('Hypothèses'!$B$38:$B$43='Hypothèses'!$C$6)*($A25&gt;='Hypothèses'!$D$38:$D$43+'Hypothèses'!$C$20+'Hypothèses'!$C$21)*'Hypothèses'!$F$38:$F$43*'Hypothèses'!$I$38:$I$43)-SUMPRODUCT(('Hypothèses'!$B$38:$B$43='Hypothèses'!$C$6)*($A25&gt;='Hypothèses'!$D$38:$D$43+'Hypothèses'!$C$20+'Hypothèses'!$C$21)*($A25&lt;'Hypothèses'!$D$38:$D$43+'Hypothèses'!$C$20+'Hypothèses'!$C$21+3)*'Hypothèses'!$F$38:$F$43*'Hypothèses'!$C$19)</x:f>
        <x:v>5800</x:v>
      </x:c>
      <x:c r="J25" s="132" t="n">
        <x:f>SUMPRODUCT(('Hypothèses'!$B$38:$B$43='Hypothèses'!$C$6)*($A25='Hypothèses'!$D$38:$D$43)*'Hypothèses'!$F$38:$F$43*'Hypothèses'!$C$18)</x:f>
        <x:v>0</x:v>
      </x:c>
      <x:c r="K25" s="132" t="n">
        <x:f>D25*'Hypothèses'!$C$27</x:f>
        <x:v>3372.1600000000003</x:v>
      </x:c>
      <x:c r="L25" s="132" t="n">
        <x:f>G25*'Hypothèses'!$C$28</x:f>
        <x:v>1620.0800000000002</x:v>
      </x:c>
      <x:c r="M25" s="132" t="n">
        <x:f>'Hypothèses'!$C$16</x:f>
        <x:v>68</x:v>
      </x:c>
      <x:c r="N25" s="132" t="n">
        <x:f>SUMPRODUCT(('Hypothèses'!$B$38:$B$43='Hypothèses'!$C$6)*($A25='Hypothèses'!$D$38:$D$43))*'Hypothèses'!$C$17</x:f>
        <x:v>0</x:v>
      </x:c>
      <x:c r="O25" s="132" t="n">
        <x:f>SUM(K25:N25)</x:f>
        <x:v>5060.240000000001</x:v>
      </x:c>
      <x:c r="P25" s="132" t="n">
        <x:f>R24</x:f>
        <x:v>-4995.00000000001</x:v>
      </x:c>
      <x:c r="Q25" s="132" t="n">
        <x:f>I25+J25-O25</x:f>
        <x:v>739.7599999999993</x:v>
      </x:c>
      <x:c r="R25" s="132" t="n">
        <x:f>P25+Q25</x:f>
        <x:v>-4255.240000000011</x:v>
      </x:c>
      <x:c r="S25" s="133" t="n">
        <x:f>H25-O25</x:f>
        <x:v>739.7599999999993</x:v>
      </x:c>
    </x:row>
    <x:row r="26">
      <x:c r="A26" s="130" t="n">
        <x:v>21</x:v>
      </x:c>
      <x:c r="B26" s="131" t="n">
        <x:f>SUMPRODUCT(('Hypothèses'!$B$38:$B$43='Hypothèses'!$C$6)*('Hypothèses'!$E$38:$E$43="Helpdesk")*($A26&gt;='Hypothèses'!$D$38:$D$43+'Hypothèses'!$C$22)*'Hypothèses'!$F$38:$F$43)</x:f>
        <x:v>2</x:v>
      </x:c>
      <x:c r="C26" s="131" t="n">
        <x:f>SUMPRODUCT(('Hypothèses'!$B$38:$B$43='Hypothèses'!$C$6)*('Hypothèses'!$E$38:$E$43="Support")*($A26&gt;='Hypothèses'!$D$38:$D$43+'Hypothèses'!$C$22)*'Hypothèses'!$F$38:$F$43)</x:f>
        <x:v>2</x:v>
      </x:c>
      <x:c r="D26" s="131" t="n">
        <x:f>B26+C26</x:f>
        <x:v>4</x:v>
      </x:c>
      <x:c r="E26" s="131" t="n">
        <x:f>IF(B26=0,0,ROUNDUP(B26/'Hypothèses'!$C$23,0))</x:f>
        <x:v>1</x:v>
      </x:c>
      <x:c r="F26" s="131" t="n">
        <x:f>IF(C26=0,0,ROUNDUP(C26/'Hypothèses'!$C$23,0))</x:f>
        <x:v>1</x:v>
      </x:c>
      <x:c r="G26" s="131" t="n">
        <x:f>E26+F26</x:f>
        <x:v>2</x:v>
      </x:c>
      <x:c r="H26" s="132" t="n">
        <x:f>SUMPRODUCT(('Hypothèses'!$B$38:$B$43='Hypothèses'!$C$6)*($A26&gt;='Hypothèses'!$D$38:$D$43+'Hypothèses'!$C$20)*'Hypothèses'!$F$38:$F$43*'Hypothèses'!$I$38:$I$43)-SUMPRODUCT(('Hypothèses'!$B$38:$B$43='Hypothèses'!$C$6)*($A26&gt;='Hypothèses'!$D$38:$D$43+'Hypothèses'!$C$20)*($A26&lt;'Hypothèses'!$D$38:$D$43+'Hypothèses'!$C$20+3)*'Hypothèses'!$F$38:$F$43*'Hypothèses'!$C$19)</x:f>
        <x:v>5800</x:v>
      </x:c>
      <x:c r="I26" s="132" t="n">
        <x:f>SUMPRODUCT(('Hypothèses'!$B$38:$B$43='Hypothèses'!$C$6)*($A26&gt;='Hypothèses'!$D$38:$D$43+'Hypothèses'!$C$20+'Hypothèses'!$C$21)*'Hypothèses'!$F$38:$F$43*'Hypothèses'!$I$38:$I$43)-SUMPRODUCT(('Hypothèses'!$B$38:$B$43='Hypothèses'!$C$6)*($A26&gt;='Hypothèses'!$D$38:$D$43+'Hypothèses'!$C$20+'Hypothèses'!$C$21)*($A26&lt;'Hypothèses'!$D$38:$D$43+'Hypothèses'!$C$20+'Hypothèses'!$C$21+3)*'Hypothèses'!$F$38:$F$43*'Hypothèses'!$C$19)</x:f>
        <x:v>5800</x:v>
      </x:c>
      <x:c r="J26" s="132" t="n">
        <x:f>SUMPRODUCT(('Hypothèses'!$B$38:$B$43='Hypothèses'!$C$6)*($A26='Hypothèses'!$D$38:$D$43)*'Hypothèses'!$F$38:$F$43*'Hypothèses'!$C$18)</x:f>
        <x:v>0</x:v>
      </x:c>
      <x:c r="K26" s="132" t="n">
        <x:f>D26*'Hypothèses'!$C$27</x:f>
        <x:v>3372.1600000000003</x:v>
      </x:c>
      <x:c r="L26" s="132" t="n">
        <x:f>G26*'Hypothèses'!$C$28</x:f>
        <x:v>1620.0800000000002</x:v>
      </x:c>
      <x:c r="M26" s="132" t="n">
        <x:f>'Hypothèses'!$C$16</x:f>
        <x:v>68</x:v>
      </x:c>
      <x:c r="N26" s="132" t="n">
        <x:f>SUMPRODUCT(('Hypothèses'!$B$38:$B$43='Hypothèses'!$C$6)*($A26='Hypothèses'!$D$38:$D$43))*'Hypothèses'!$C$17</x:f>
        <x:v>0</x:v>
      </x:c>
      <x:c r="O26" s="132" t="n">
        <x:f>SUM(K26:N26)</x:f>
        <x:v>5060.240000000001</x:v>
      </x:c>
      <x:c r="P26" s="132" t="n">
        <x:f>R25</x:f>
        <x:v>-4255.240000000011</x:v>
      </x:c>
      <x:c r="Q26" s="132" t="n">
        <x:f>I26+J26-O26</x:f>
        <x:v>739.7599999999993</x:v>
      </x:c>
      <x:c r="R26" s="132" t="n">
        <x:f>P26+Q26</x:f>
        <x:v>-3515.4800000000114</x:v>
      </x:c>
      <x:c r="S26" s="133" t="n">
        <x:f>H26-O26</x:f>
        <x:v>739.7599999999993</x:v>
      </x:c>
    </x:row>
    <x:row r="27">
      <x:c r="A27" s="130" t="n">
        <x:v>22</x:v>
      </x:c>
      <x:c r="B27" s="131" t="n">
        <x:f>SUMPRODUCT(('Hypothèses'!$B$38:$B$43='Hypothèses'!$C$6)*('Hypothèses'!$E$38:$E$43="Helpdesk")*($A27&gt;='Hypothèses'!$D$38:$D$43+'Hypothèses'!$C$22)*'Hypothèses'!$F$38:$F$43)</x:f>
        <x:v>2</x:v>
      </x:c>
      <x:c r="C27" s="131" t="n">
        <x:f>SUMPRODUCT(('Hypothèses'!$B$38:$B$43='Hypothèses'!$C$6)*('Hypothèses'!$E$38:$E$43="Support")*($A27&gt;='Hypothèses'!$D$38:$D$43+'Hypothèses'!$C$22)*'Hypothèses'!$F$38:$F$43)</x:f>
        <x:v>2</x:v>
      </x:c>
      <x:c r="D27" s="131" t="n">
        <x:f>B27+C27</x:f>
        <x:v>4</x:v>
      </x:c>
      <x:c r="E27" s="131" t="n">
        <x:f>IF(B27=0,0,ROUNDUP(B27/'Hypothèses'!$C$23,0))</x:f>
        <x:v>1</x:v>
      </x:c>
      <x:c r="F27" s="131" t="n">
        <x:f>IF(C27=0,0,ROUNDUP(C27/'Hypothèses'!$C$23,0))</x:f>
        <x:v>1</x:v>
      </x:c>
      <x:c r="G27" s="131" t="n">
        <x:f>E27+F27</x:f>
        <x:v>2</x:v>
      </x:c>
      <x:c r="H27" s="132" t="n">
        <x:f>SUMPRODUCT(('Hypothèses'!$B$38:$B$43='Hypothèses'!$C$6)*($A27&gt;='Hypothèses'!$D$38:$D$43+'Hypothèses'!$C$20)*'Hypothèses'!$F$38:$F$43*'Hypothèses'!$I$38:$I$43)-SUMPRODUCT(('Hypothèses'!$B$38:$B$43='Hypothèses'!$C$6)*($A27&gt;='Hypothèses'!$D$38:$D$43+'Hypothèses'!$C$20)*($A27&lt;'Hypothèses'!$D$38:$D$43+'Hypothèses'!$C$20+3)*'Hypothèses'!$F$38:$F$43*'Hypothèses'!$C$19)</x:f>
        <x:v>5800</x:v>
      </x:c>
      <x:c r="I27" s="132" t="n">
        <x:f>SUMPRODUCT(('Hypothèses'!$B$38:$B$43='Hypothèses'!$C$6)*($A27&gt;='Hypothèses'!$D$38:$D$43+'Hypothèses'!$C$20+'Hypothèses'!$C$21)*'Hypothèses'!$F$38:$F$43*'Hypothèses'!$I$38:$I$43)-SUMPRODUCT(('Hypothèses'!$B$38:$B$43='Hypothèses'!$C$6)*($A27&gt;='Hypothèses'!$D$38:$D$43+'Hypothèses'!$C$20+'Hypothèses'!$C$21)*($A27&lt;'Hypothèses'!$D$38:$D$43+'Hypothèses'!$C$20+'Hypothèses'!$C$21+3)*'Hypothèses'!$F$38:$F$43*'Hypothèses'!$C$19)</x:f>
        <x:v>5800</x:v>
      </x:c>
      <x:c r="J27" s="132" t="n">
        <x:f>SUMPRODUCT(('Hypothèses'!$B$38:$B$43='Hypothèses'!$C$6)*($A27='Hypothèses'!$D$38:$D$43)*'Hypothèses'!$F$38:$F$43*'Hypothèses'!$C$18)</x:f>
        <x:v>0</x:v>
      </x:c>
      <x:c r="K27" s="132" t="n">
        <x:f>D27*'Hypothèses'!$C$27</x:f>
        <x:v>3372.1600000000003</x:v>
      </x:c>
      <x:c r="L27" s="132" t="n">
        <x:f>G27*'Hypothèses'!$C$28</x:f>
        <x:v>1620.0800000000002</x:v>
      </x:c>
      <x:c r="M27" s="132" t="n">
        <x:f>'Hypothèses'!$C$16</x:f>
        <x:v>68</x:v>
      </x:c>
      <x:c r="N27" s="132" t="n">
        <x:f>SUMPRODUCT(('Hypothèses'!$B$38:$B$43='Hypothèses'!$C$6)*($A27='Hypothèses'!$D$38:$D$43))*'Hypothèses'!$C$17</x:f>
        <x:v>0</x:v>
      </x:c>
      <x:c r="O27" s="132" t="n">
        <x:f>SUM(K27:N27)</x:f>
        <x:v>5060.240000000001</x:v>
      </x:c>
      <x:c r="P27" s="132" t="n">
        <x:f>R26</x:f>
        <x:v>-3515.4800000000114</x:v>
      </x:c>
      <x:c r="Q27" s="132" t="n">
        <x:f>I27+J27-O27</x:f>
        <x:v>739.7599999999993</x:v>
      </x:c>
      <x:c r="R27" s="132" t="n">
        <x:f>P27+Q27</x:f>
        <x:v>-2775.720000000012</x:v>
      </x:c>
      <x:c r="S27" s="133" t="n">
        <x:f>H27-O27</x:f>
        <x:v>739.7599999999993</x:v>
      </x:c>
    </x:row>
    <x:row r="28">
      <x:c r="A28" s="130" t="n">
        <x:v>23</x:v>
      </x:c>
      <x:c r="B28" s="131" t="n">
        <x:f>SUMPRODUCT(('Hypothèses'!$B$38:$B$43='Hypothèses'!$C$6)*('Hypothèses'!$E$38:$E$43="Helpdesk")*($A28&gt;='Hypothèses'!$D$38:$D$43+'Hypothèses'!$C$22)*'Hypothèses'!$F$38:$F$43)</x:f>
        <x:v>2</x:v>
      </x:c>
      <x:c r="C28" s="131" t="n">
        <x:f>SUMPRODUCT(('Hypothèses'!$B$38:$B$43='Hypothèses'!$C$6)*('Hypothèses'!$E$38:$E$43="Support")*($A28&gt;='Hypothèses'!$D$38:$D$43+'Hypothèses'!$C$22)*'Hypothèses'!$F$38:$F$43)</x:f>
        <x:v>2</x:v>
      </x:c>
      <x:c r="D28" s="131" t="n">
        <x:f>B28+C28</x:f>
        <x:v>4</x:v>
      </x:c>
      <x:c r="E28" s="131" t="n">
        <x:f>IF(B28=0,0,ROUNDUP(B28/'Hypothèses'!$C$23,0))</x:f>
        <x:v>1</x:v>
      </x:c>
      <x:c r="F28" s="131" t="n">
        <x:f>IF(C28=0,0,ROUNDUP(C28/'Hypothèses'!$C$23,0))</x:f>
        <x:v>1</x:v>
      </x:c>
      <x:c r="G28" s="131" t="n">
        <x:f>E28+F28</x:f>
        <x:v>2</x:v>
      </x:c>
      <x:c r="H28" s="132" t="n">
        <x:f>SUMPRODUCT(('Hypothèses'!$B$38:$B$43='Hypothèses'!$C$6)*($A28&gt;='Hypothèses'!$D$38:$D$43+'Hypothèses'!$C$20)*'Hypothèses'!$F$38:$F$43*'Hypothèses'!$I$38:$I$43)-SUMPRODUCT(('Hypothèses'!$B$38:$B$43='Hypothèses'!$C$6)*($A28&gt;='Hypothèses'!$D$38:$D$43+'Hypothèses'!$C$20)*($A28&lt;'Hypothèses'!$D$38:$D$43+'Hypothèses'!$C$20+3)*'Hypothèses'!$F$38:$F$43*'Hypothèses'!$C$19)</x:f>
        <x:v>5800</x:v>
      </x:c>
      <x:c r="I28" s="132" t="n">
        <x:f>SUMPRODUCT(('Hypothèses'!$B$38:$B$43='Hypothèses'!$C$6)*($A28&gt;='Hypothèses'!$D$38:$D$43+'Hypothèses'!$C$20+'Hypothèses'!$C$21)*'Hypothèses'!$F$38:$F$43*'Hypothèses'!$I$38:$I$43)-SUMPRODUCT(('Hypothèses'!$B$38:$B$43='Hypothèses'!$C$6)*($A28&gt;='Hypothèses'!$D$38:$D$43+'Hypothèses'!$C$20+'Hypothèses'!$C$21)*($A28&lt;'Hypothèses'!$D$38:$D$43+'Hypothèses'!$C$20+'Hypothèses'!$C$21+3)*'Hypothèses'!$F$38:$F$43*'Hypothèses'!$C$19)</x:f>
        <x:v>5800</x:v>
      </x:c>
      <x:c r="J28" s="132" t="n">
        <x:f>SUMPRODUCT(('Hypothèses'!$B$38:$B$43='Hypothèses'!$C$6)*($A28='Hypothèses'!$D$38:$D$43)*'Hypothèses'!$F$38:$F$43*'Hypothèses'!$C$18)</x:f>
        <x:v>0</x:v>
      </x:c>
      <x:c r="K28" s="132" t="n">
        <x:f>D28*'Hypothèses'!$C$27</x:f>
        <x:v>3372.1600000000003</x:v>
      </x:c>
      <x:c r="L28" s="132" t="n">
        <x:f>G28*'Hypothèses'!$C$28</x:f>
        <x:v>1620.0800000000002</x:v>
      </x:c>
      <x:c r="M28" s="132" t="n">
        <x:f>'Hypothèses'!$C$16</x:f>
        <x:v>68</x:v>
      </x:c>
      <x:c r="N28" s="132" t="n">
        <x:f>SUMPRODUCT(('Hypothèses'!$B$38:$B$43='Hypothèses'!$C$6)*($A28='Hypothèses'!$D$38:$D$43))*'Hypothèses'!$C$17</x:f>
        <x:v>0</x:v>
      </x:c>
      <x:c r="O28" s="132" t="n">
        <x:f>SUM(K28:N28)</x:f>
        <x:v>5060.240000000001</x:v>
      </x:c>
      <x:c r="P28" s="132" t="n">
        <x:f>R27</x:f>
        <x:v>-2775.720000000012</x:v>
      </x:c>
      <x:c r="Q28" s="132" t="n">
        <x:f>I28+J28-O28</x:f>
        <x:v>739.7599999999993</x:v>
      </x:c>
      <x:c r="R28" s="132" t="n">
        <x:f>P28+Q28</x:f>
        <x:v>-2035.9600000000128</x:v>
      </x:c>
      <x:c r="S28" s="133" t="n">
        <x:f>H28-O28</x:f>
        <x:v>739.7599999999993</x:v>
      </x:c>
    </x:row>
    <x:row r="29">
      <x:c r="A29" s="134" t="n">
        <x:v>24</x:v>
      </x:c>
      <x:c r="B29" s="135" t="n">
        <x:f>SUMPRODUCT(('Hypothèses'!$B$38:$B$43='Hypothèses'!$C$6)*('Hypothèses'!$E$38:$E$43="Helpdesk")*($A29&gt;='Hypothèses'!$D$38:$D$43+'Hypothèses'!$C$22)*'Hypothèses'!$F$38:$F$43)</x:f>
        <x:v>2</x:v>
      </x:c>
      <x:c r="C29" s="135" t="n">
        <x:f>SUMPRODUCT(('Hypothèses'!$B$38:$B$43='Hypothèses'!$C$6)*('Hypothèses'!$E$38:$E$43="Support")*($A29&gt;='Hypothèses'!$D$38:$D$43+'Hypothèses'!$C$22)*'Hypothèses'!$F$38:$F$43)</x:f>
        <x:v>2</x:v>
      </x:c>
      <x:c r="D29" s="135" t="n">
        <x:f>B29+C29</x:f>
        <x:v>4</x:v>
      </x:c>
      <x:c r="E29" s="135" t="n">
        <x:f>IF(B29=0,0,ROUNDUP(B29/'Hypothèses'!$C$23,0))</x:f>
        <x:v>1</x:v>
      </x:c>
      <x:c r="F29" s="135" t="n">
        <x:f>IF(C29=0,0,ROUNDUP(C29/'Hypothèses'!$C$23,0))</x:f>
        <x:v>1</x:v>
      </x:c>
      <x:c r="G29" s="135" t="n">
        <x:f>E29+F29</x:f>
        <x:v>2</x:v>
      </x:c>
      <x:c r="H29" s="136" t="n">
        <x:f>SUMPRODUCT(('Hypothèses'!$B$38:$B$43='Hypothèses'!$C$6)*($A29&gt;='Hypothèses'!$D$38:$D$43+'Hypothèses'!$C$20)*'Hypothèses'!$F$38:$F$43*'Hypothèses'!$I$38:$I$43)-SUMPRODUCT(('Hypothèses'!$B$38:$B$43='Hypothèses'!$C$6)*($A29&gt;='Hypothèses'!$D$38:$D$43+'Hypothèses'!$C$20)*($A29&lt;'Hypothèses'!$D$38:$D$43+'Hypothèses'!$C$20+3)*'Hypothèses'!$F$38:$F$43*'Hypothèses'!$C$19)</x:f>
        <x:v>5800</x:v>
      </x:c>
      <x:c r="I29" s="136" t="n">
        <x:f>SUMPRODUCT(('Hypothèses'!$B$38:$B$43='Hypothèses'!$C$6)*($A29&gt;='Hypothèses'!$D$38:$D$43+'Hypothèses'!$C$20+'Hypothèses'!$C$21)*'Hypothèses'!$F$38:$F$43*'Hypothèses'!$I$38:$I$43)-SUMPRODUCT(('Hypothèses'!$B$38:$B$43='Hypothèses'!$C$6)*($A29&gt;='Hypothèses'!$D$38:$D$43+'Hypothèses'!$C$20+'Hypothèses'!$C$21)*($A29&lt;'Hypothèses'!$D$38:$D$43+'Hypothèses'!$C$20+'Hypothèses'!$C$21+3)*'Hypothèses'!$F$38:$F$43*'Hypothèses'!$C$19)</x:f>
        <x:v>5800</x:v>
      </x:c>
      <x:c r="J29" s="136" t="n">
        <x:f>SUMPRODUCT(('Hypothèses'!$B$38:$B$43='Hypothèses'!$C$6)*($A29='Hypothèses'!$D$38:$D$43)*'Hypothèses'!$F$38:$F$43*'Hypothèses'!$C$18)</x:f>
        <x:v>0</x:v>
      </x:c>
      <x:c r="K29" s="136" t="n">
        <x:f>D29*'Hypothèses'!$C$27</x:f>
        <x:v>3372.1600000000003</x:v>
      </x:c>
      <x:c r="L29" s="136" t="n">
        <x:f>G29*'Hypothèses'!$C$28</x:f>
        <x:v>1620.0800000000002</x:v>
      </x:c>
      <x:c r="M29" s="136" t="n">
        <x:f>'Hypothèses'!$C$16</x:f>
        <x:v>68</x:v>
      </x:c>
      <x:c r="N29" s="136" t="n">
        <x:f>SUMPRODUCT(('Hypothèses'!$B$38:$B$43='Hypothèses'!$C$6)*($A29='Hypothèses'!$D$38:$D$43))*'Hypothèses'!$C$17</x:f>
        <x:v>0</x:v>
      </x:c>
      <x:c r="O29" s="136" t="n">
        <x:f>SUM(K29:N29)</x:f>
        <x:v>5060.240000000001</x:v>
      </x:c>
      <x:c r="P29" s="136" t="n">
        <x:f>R28</x:f>
        <x:v>-2035.9600000000128</x:v>
      </x:c>
      <x:c r="Q29" s="136" t="n">
        <x:f>I29+J29-O29</x:f>
        <x:v>739.7599999999993</x:v>
      </x:c>
      <x:c r="R29" s="136" t="n">
        <x:f>P29+Q29</x:f>
        <x:v>-1296.2000000000135</x:v>
      </x:c>
      <x:c r="S29" s="137" t="n">
        <x:f>H29-O29</x:f>
        <x:v>739.7599999999993</x:v>
      </x:c>
    </x:row>
    <x:row r="30">
      <x:c r="A30" s="41"/>
      <x:c r="B30" s="41"/>
      <x:c r="C30" s="41"/>
      <x:c r="D30" s="41"/>
      <x:c r="E30" s="41"/>
      <x:c r="F30" s="41"/>
      <x:c r="G30" s="41"/>
      <x:c r="H30" s="41"/>
      <x:c r="I30" s="41"/>
      <x:c r="J30" s="41"/>
      <x:c r="K30" s="41"/>
      <x:c r="L30" s="41"/>
      <x:c r="M30" s="41"/>
      <x:c r="N30" s="41"/>
      <x:c r="O30" s="41"/>
      <x:c r="P30" s="41"/>
      <x:c r="Q30" s="41"/>
      <x:c r="R30" s="41"/>
      <x:c r="S30" s="41"/>
    </x:row>
    <x:row r="31">
      <x:c r="A31" s="41"/>
      <x:c r="B31" s="41"/>
      <x:c r="C31" s="41"/>
      <x:c r="D31" s="41"/>
      <x:c r="E31" s="41"/>
      <x:c r="F31" s="41"/>
      <x:c r="G31" s="41"/>
      <x:c r="H31" s="41"/>
      <x:c r="I31" s="41"/>
      <x:c r="J31" s="41"/>
      <x:c r="K31" s="41"/>
      <x:c r="L31" s="41"/>
      <x:c r="M31" s="41"/>
      <x:c r="N31" s="41"/>
      <x:c r="O31" s="41"/>
      <x:c r="P31" s="41"/>
      <x:c r="Q31" s="41"/>
      <x:c r="R31" s="41"/>
      <x:c r="S31" s="41"/>
    </x:row>
    <x:row r="32">
      <x:c r="A32" s="186" t="str">
        <x:v>Contrôle</x:v>
      </x:c>
      <x:c r="B32" s="186" t="str">
        <x:v>Valeur</x:v>
      </x:c>
      <x:c r="C32" s="186" t="str">
        <x:v>Résultat</x:v>
      </x:c>
      <x:c r="D32" s="41"/>
      <x:c r="E32" s="41"/>
      <x:c r="F32" s="41"/>
      <x:c r="G32" s="41"/>
      <x:c r="H32" s="41"/>
      <x:c r="I32" s="41"/>
      <x:c r="J32" s="41"/>
      <x:c r="K32" s="41"/>
      <x:c r="L32" s="41"/>
      <x:c r="M32" s="41"/>
      <x:c r="N32" s="41"/>
      <x:c r="O32" s="41"/>
      <x:c r="P32" s="41"/>
      <x:c r="Q32" s="41"/>
      <x:c r="R32" s="41"/>
      <x:c r="S32" s="41"/>
    </x:row>
    <x:row r="33">
      <x:c r="A33" s="49" t="str">
        <x:v>Rapprochement du cash</x:v>
      </x:c>
      <x:c r="B33" s="73" t="n">
        <x:f>'Hypothèses'!C9+SUM(Q6:Q29)-R29</x:f>
        <x:v>0</x:v>
      </x:c>
      <x:c r="C33" s="49" t="str">
        <x:f>IF(ABS(B33)&lt;0.01,"OK","Écart à corriger")</x:f>
        <x:v>OK</x:v>
      </x:c>
      <x:c r="D33" s="41"/>
      <x:c r="E33" s="41"/>
      <x:c r="F33" s="41"/>
      <x:c r="G33" s="41"/>
      <x:c r="H33" s="41"/>
      <x:c r="I33" s="41"/>
      <x:c r="J33" s="41"/>
      <x:c r="K33" s="41"/>
      <x:c r="L33" s="41"/>
      <x:c r="M33" s="41"/>
      <x:c r="N33" s="41"/>
      <x:c r="O33" s="41"/>
      <x:c r="P33" s="41"/>
      <x:c r="Q33" s="41"/>
      <x:c r="R33" s="41"/>
      <x:c r="S33" s="41"/>
    </x:row>
    <x:row r="34">
      <x:c r="A34" s="49" t="str">
        <x:v>Crédit de dépôt par position</x:v>
      </x:c>
      <x:c r="B34" s="73" t="n">
        <x:f>'Hypothèses'!C18-3*'Hypothèses'!C19</x:f>
        <x:v>0</x:v>
      </x:c>
      <x:c r="C34" s="49" t="str">
        <x:f>IF(ABS(B34)&lt;0.01,"OK","Dépôt non totalement crédité")</x:f>
        <x:v>OK</x:v>
      </x:c>
      <x:c r="D34" s="41"/>
      <x:c r="E34" s="41"/>
      <x:c r="F34" s="41"/>
      <x:c r="G34" s="41"/>
      <x:c r="H34" s="41"/>
      <x:c r="I34" s="41"/>
      <x:c r="J34" s="41"/>
      <x:c r="K34" s="41"/>
      <x:c r="L34" s="41"/>
      <x:c r="M34" s="41"/>
      <x:c r="N34" s="41"/>
      <x:c r="O34" s="41"/>
      <x:c r="P34" s="41"/>
      <x:c r="Q34" s="41"/>
      <x:c r="R34" s="41"/>
      <x:c r="S34" s="41"/>
    </x:row>
  </x:sheetData>
  <x:mergeCells>
    <x:mergeCell ref="A2:S2"/>
    <x:mergeCell ref="A3:S3"/>
  </x:mergeCells>
  <x:conditionalFormatting sqref="R6:R29">
    <x:cfRule type="cellIs" dxfId="1" priority="1" operator="lessThan">
      <x:formula>0</x:formula>
    </x:cfRule>
  </x:conditionalFormatting>
  <x:pageMargins left="0.7" right="0.7" top="0.75" bottom="0.75" header="0.3" footer="0.3"/>
</x:worksheet>
</file>