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rier" sheetId="1" state="visible" r:id="rId1"/>
    <sheet xmlns:r="http://schemas.openxmlformats.org/officeDocument/2006/relationships" name="Banque de sujets" sheetId="2" state="visible" r:id="rId2"/>
    <sheet xmlns:r="http://schemas.openxmlformats.org/officeDocument/2006/relationships" name="Règles &amp; garde-fous" sheetId="3" state="visible" r:id="rId3"/>
    <sheet xmlns:r="http://schemas.openxmlformats.org/officeDocument/2006/relationships" name="KPI mensuel"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 %"/>
  </numFmts>
  <fonts count="14">
    <font>
      <name val="Calibri"/>
      <family val="2"/>
      <color theme="1"/>
      <sz val="11"/>
      <scheme val="minor"/>
    </font>
    <font>
      <name val="Arial"/>
      <b val="1"/>
      <color rgb="002E3B4E"/>
      <sz val="14"/>
    </font>
    <font>
      <name val="Arial"/>
      <i val="1"/>
      <color rgb="005C5448"/>
      <sz val="9"/>
    </font>
    <font>
      <name val="Arial"/>
      <i val="1"/>
      <color rgb="00B6604D"/>
      <sz val="9"/>
    </font>
    <font>
      <name val="Arial"/>
      <b val="1"/>
      <color rgb="00FFFFFF"/>
      <sz val="10"/>
    </font>
    <font>
      <name val="Arial"/>
      <color rgb="002A2620"/>
      <sz val="9"/>
    </font>
    <font>
      <name val="Arial"/>
      <b val="1"/>
      <color rgb="002A2620"/>
      <sz val="9"/>
    </font>
    <font>
      <name val="Arial"/>
      <b val="1"/>
      <color rgb="002E3B4E"/>
      <sz val="9"/>
    </font>
    <font>
      <name val="Arial"/>
      <color rgb="00B6604D"/>
      <sz val="9"/>
    </font>
    <font>
      <name val="Arial"/>
      <b val="1"/>
      <color rgb="006F8770"/>
      <sz val="9"/>
    </font>
    <font>
      <name val="Arial"/>
      <b val="1"/>
      <color rgb="002E3B4E"/>
      <sz val="11"/>
    </font>
    <font>
      <name val="Arial"/>
      <color rgb="005C5448"/>
      <sz val="9"/>
    </font>
    <font>
      <name val="Arial"/>
      <b val="1"/>
      <color rgb="002E3B4E"/>
      <sz val="13"/>
    </font>
    <font>
      <name val="Arial"/>
      <b val="1"/>
      <color rgb="00B6604D"/>
      <sz val="9"/>
    </font>
  </fonts>
  <fills count="8">
    <fill>
      <patternFill/>
    </fill>
    <fill>
      <patternFill patternType="gray125"/>
    </fill>
    <fill>
      <patternFill patternType="solid">
        <fgColor rgb="002E3B4E"/>
      </patternFill>
    </fill>
    <fill>
      <patternFill patternType="solid">
        <fgColor rgb="006F8770"/>
      </patternFill>
    </fill>
    <fill>
      <patternFill patternType="solid">
        <fgColor rgb="00F6F2EA"/>
      </patternFill>
    </fill>
    <fill>
      <patternFill patternType="solid">
        <fgColor rgb="00FFFFCC"/>
      </patternFill>
    </fill>
    <fill>
      <patternFill patternType="solid">
        <fgColor rgb="00EAF0EA"/>
      </patternFill>
    </fill>
    <fill>
      <patternFill patternType="solid">
        <fgColor rgb="00FFFF00"/>
      </patternFill>
    </fill>
  </fills>
  <borders count="2">
    <border>
      <left/>
      <right/>
      <top/>
      <bottom/>
      <diagonal/>
    </border>
    <border>
      <left style="thin">
        <color rgb="00E7DFD1"/>
      </left>
      <right style="thin">
        <color rgb="00E7DFD1"/>
      </right>
      <top style="thin">
        <color rgb="00E7DFD1"/>
      </top>
      <bottom style="thin">
        <color rgb="00E7DFD1"/>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8" fillId="4" borderId="1" applyAlignment="1" pivotButton="0" quotePrefix="0" xfId="0">
      <alignment horizontal="left" vertical="top" wrapText="1"/>
    </xf>
    <xf numFmtId="0" fontId="5" fillId="5" borderId="1" applyAlignment="1" pivotButton="0" quotePrefix="0" xfId="0">
      <alignment horizontal="center" vertical="top" wrapText="1"/>
    </xf>
    <xf numFmtId="0" fontId="9" fillId="4"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7" fillId="6" borderId="1" applyAlignment="1" pivotButton="0" quotePrefix="0" xfId="0">
      <alignment horizontal="left" vertical="top" wrapText="1"/>
    </xf>
    <xf numFmtId="0" fontId="8" fillId="6" borderId="1" applyAlignment="1" pivotButton="0" quotePrefix="0" xfId="0">
      <alignment horizontal="left" vertical="top" wrapText="1"/>
    </xf>
    <xf numFmtId="0" fontId="10" fillId="0" borderId="0" pivotButton="0" quotePrefix="0" xfId="0"/>
    <xf numFmtId="0" fontId="11" fillId="0" borderId="0" applyAlignment="1" pivotButton="0" quotePrefix="0" xfId="0">
      <alignment horizontal="left" vertical="center"/>
    </xf>
    <xf numFmtId="0" fontId="12" fillId="0" borderId="0" pivotButton="0" quotePrefix="0" xfId="0"/>
    <xf numFmtId="0" fontId="13" fillId="4" borderId="1" applyAlignment="1" pivotButton="0" quotePrefix="0" xfId="0">
      <alignment horizontal="left" vertical="top" wrapText="1"/>
    </xf>
    <xf numFmtId="0" fontId="5" fillId="4" borderId="1" applyAlignment="1" pivotButton="0" quotePrefix="0" xfId="0">
      <alignment horizontal="left" vertical="top"/>
    </xf>
    <xf numFmtId="3" fontId="5" fillId="4" borderId="1" applyAlignment="1" pivotButton="0" quotePrefix="0" xfId="0">
      <alignment horizontal="center" vertical="top"/>
    </xf>
    <xf numFmtId="164" fontId="5" fillId="4" borderId="1" applyAlignment="1" pivotButton="0" quotePrefix="0" xfId="0">
      <alignment horizontal="center" vertical="top"/>
    </xf>
    <xf numFmtId="3" fontId="5" fillId="7" borderId="1" applyAlignment="1" pivotButton="0" quotePrefix="0" xfId="0">
      <alignment horizontal="center" vertical="top"/>
    </xf>
    <xf numFmtId="0" fontId="5" fillId="4" borderId="1" applyAlignment="1" pivotButton="0" quotePrefix="0" xfId="0">
      <alignment horizontal="center" vertical="top"/>
    </xf>
    <xf numFmtId="165" fontId="5" fillId="4" borderId="1" applyAlignment="1" pivotButton="0" quotePrefix="0" xfId="0">
      <alignment horizontal="center"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7" customWidth="1" min="3" max="3"/>
    <col width="13" customWidth="1" min="4" max="4"/>
    <col width="11" customWidth="1" min="5" max="5"/>
    <col width="20" customWidth="1" min="6" max="6"/>
    <col width="26" customWidth="1" min="7" max="7"/>
    <col width="46" customWidth="1" min="8" max="8"/>
    <col width="60" customWidth="1" min="9" max="9"/>
    <col width="30" customWidth="1" min="10" max="10"/>
    <col width="34" customWidth="1" min="11" max="11"/>
    <col width="30" customWidth="1" min="12" max="12"/>
    <col width="8" customWidth="1" min="13" max="13"/>
    <col width="8" customWidth="1" min="14" max="14"/>
    <col width="11" customWidth="1" min="15" max="15"/>
    <col width="13" customWidth="1" min="16" max="16"/>
    <col width="16" customWidth="1" min="17" max="17"/>
    <col width="9" customWidth="1" min="18" max="18"/>
    <col width="8" customWidth="1" min="19" max="19"/>
    <col width="11" customWidth="1" min="20" max="20"/>
  </cols>
  <sheetData>
    <row r="1" ht="22" customHeight="1">
      <c r="A1" s="1" t="inlineStr">
        <is>
          <t>CALENDRIER ÉDITORIAL LINKEDIN — Valérien Rakotosalama (Salverys)</t>
        </is>
      </c>
    </row>
    <row r="2" ht="26" customHeight="1">
      <c r="A2" s="2" t="inlineStr">
        <is>
          <t>v2 — 27/07/2026 · Aligné GTM marque blanche d'abord (CLAUDE.md, décision direction 2026-06-10) et priorité niches IT-first (2026-06-22). Août = rodage 2 posts/sem · Rentrée = 3 posts/sem.</t>
        </is>
      </c>
    </row>
    <row r="3" ht="26" customHeight="1">
      <c r="A3" s="3" t="inlineStr">
        <is>
          <t>Aucun résultat client n'est publié tant qu'aucun contrat n'est signé (cible : 1er contrat MB, semaines 11-23 août — RETROPLANNING-LANCEMENT.md). Le pilier « Preuves » porte sur la MÉTHODE, pas sur des résultats.</t>
        </is>
      </c>
    </row>
    <row r="5" ht="34" customHeight="1">
      <c r="A5" s="4" t="inlineStr">
        <is>
          <t>Date</t>
        </is>
      </c>
      <c r="B5" s="4" t="inlineStr">
        <is>
          <t>Jour</t>
        </is>
      </c>
      <c r="C5" s="4" t="inlineStr">
        <is>
          <t>Sem.</t>
        </is>
      </c>
      <c r="D5" s="4" t="inlineStr">
        <is>
          <t>Phase</t>
        </is>
      </c>
      <c r="E5" s="4" t="inlineStr">
        <is>
          <t>Format</t>
        </is>
      </c>
      <c r="F5" s="4" t="inlineStr">
        <is>
          <t>Pilier</t>
        </is>
      </c>
      <c r="G5" s="4" t="inlineStr">
        <is>
          <t>Cible prioritaire (marque blanche)</t>
        </is>
      </c>
      <c r="H5" s="4" t="inlineStr">
        <is>
          <t>Accroche — 1re ligne du post</t>
        </is>
      </c>
      <c r="I5" s="4" t="inlineStr">
        <is>
          <t>Angle / contenu</t>
        </is>
      </c>
      <c r="J5" s="4" t="inlineStr">
        <is>
          <t>Source interne (repo)</t>
        </is>
      </c>
      <c r="K5" s="4" t="inlineStr">
        <is>
          <t>GARDE-FOU — ne pas publier</t>
        </is>
      </c>
      <c r="L5" s="4" t="inlineStr">
        <is>
          <t>CTA</t>
        </is>
      </c>
      <c r="M5" s="5" t="inlineStr">
        <is>
          <t>Heure</t>
        </is>
      </c>
      <c r="N5" s="5" t="inlineStr">
        <is>
          <t>Resp.</t>
        </is>
      </c>
      <c r="O5" s="5" t="inlineStr">
        <is>
          <t>Prod. le</t>
        </is>
      </c>
      <c r="P5" s="5" t="inlineStr">
        <is>
          <t>Statut</t>
        </is>
      </c>
      <c r="Q5" s="5" t="inlineStr">
        <is>
          <t>Lien du post</t>
        </is>
      </c>
      <c r="R5" s="5" t="inlineStr">
        <is>
          <t>Portée</t>
        </is>
      </c>
      <c r="S5" s="5" t="inlineStr">
        <is>
          <t>Comm.</t>
        </is>
      </c>
      <c r="T5" s="5" t="inlineStr">
        <is>
          <t>DM entrants</t>
        </is>
      </c>
    </row>
    <row r="6" ht="108" customHeight="1">
      <c r="A6" s="6" t="inlineStr">
        <is>
          <t>28/07/2026</t>
        </is>
      </c>
      <c r="B6" s="6" t="inlineStr">
        <is>
          <t>Mardi</t>
        </is>
      </c>
      <c r="C6" s="6" t="inlineStr">
        <is>
          <t>S1</t>
        </is>
      </c>
      <c r="D6" s="7" t="inlineStr">
        <is>
          <t>Rodage août</t>
        </is>
      </c>
      <c r="E6" s="6" t="inlineStr">
        <is>
          <t>Carrousel</t>
        </is>
      </c>
      <c r="F6" s="8" t="inlineStr">
        <is>
          <t>Expertise BPO / Support N1</t>
        </is>
      </c>
      <c r="G6" s="7" t="inlineStr">
        <is>
          <t>ESN &amp; MSP FR 50-300 pers.
DG · Dir. Opérations · Dir. Delivery</t>
        </is>
      </c>
      <c r="H6" s="9" t="inlineStr">
        <is>
          <t>Entre 7h et 9h, vos tickets s'empilent et personne n'est encore arrivé.</t>
        </is>
      </c>
      <c r="I6" s="7" t="inlineStr">
        <is>
          <t>Le créneau 7h-9h est un trou de capacité structurel : trop peu de volume pour justifier un ETP France, trop de tickets pour être ignoré. Décomposer pourquoi il ne se recrute pas (prime horaire, temps partiel impossible à staffer, turnover sur les postes décalés) et pourquoi un fuseau UTC+3 le couvre en pleine heure de bureau, sans prime de nuit. Poser le cadre « soupape », pas « remplacement ».</t>
        </is>
      </c>
      <c r="J6" s="7" t="inlineStr">
        <is>
          <t>OUTREACH-IT-N1-marque-blanche.md (positionnement soupape)
IDEAL-CUSTOMER-PROFILE.md §1.b</t>
        </is>
      </c>
      <c r="K6" s="10" t="inlineStr">
        <is>
          <t>Aucun tarif. Ne pas nommer d'ESN cible du CRM.</t>
        </is>
      </c>
      <c r="L6" s="7" t="inlineStr">
        <is>
          <t>Vous le couvrez comment aujourd'hui, le créneau du matin ? En commentaire.</t>
        </is>
      </c>
      <c r="M6" s="6" t="inlineStr">
        <is>
          <t>08:00</t>
        </is>
      </c>
      <c r="N6" s="6" t="inlineStr">
        <is>
          <t>VR</t>
        </is>
      </c>
      <c r="O6" s="11" t="n"/>
      <c r="P6" s="11" t="inlineStr">
        <is>
          <t>À préparer</t>
        </is>
      </c>
      <c r="Q6" s="11" t="n"/>
      <c r="R6" s="11" t="n"/>
      <c r="S6" s="11" t="n"/>
      <c r="T6" s="11" t="n"/>
    </row>
    <row r="7" ht="108" customHeight="1">
      <c r="A7" s="6" t="inlineStr">
        <is>
          <t>30/07/2026</t>
        </is>
      </c>
      <c r="B7" s="6" t="inlineStr">
        <is>
          <t>Jeudi</t>
        </is>
      </c>
      <c r="C7" s="6" t="inlineStr">
        <is>
          <t>S1</t>
        </is>
      </c>
      <c r="D7" s="7" t="inlineStr">
        <is>
          <t>Rodage août</t>
        </is>
      </c>
      <c r="E7" s="6" t="inlineStr">
        <is>
          <t>Vidéo &lt; 90 s</t>
        </is>
      </c>
      <c r="F7" s="8" t="inlineStr">
        <is>
          <t>Coulisses de CEO</t>
        </is>
      </c>
      <c r="G7" s="7" t="inlineStr">
        <is>
          <t>Donneurs d'ordre toutes niches
(éditeurs, ESN/MSP, télésec)</t>
        </is>
      </c>
      <c r="H7" s="9" t="inlineStr">
        <is>
          <t>Je paie mes agents 4,5 fois le salaire du marché local. Ce n'est pas de la générosité.</t>
        </is>
      </c>
      <c r="I7" s="7" t="inlineStr">
        <is>
          <t>La peur n°1 d'un donneur d'ordre en marque blanche : l'agent formé sur SES process part au bout de 4 mois et il repaie la formation. Expliquer que la rémunération très au-dessus du marché local est un achat d'assurance anti-turnover — le coût est sur ma marge, pas sur son risque. Terminer sur : « un engagement de zéro turnover n'est crédible que si quelqu'un le paie ».</t>
        </is>
      </c>
      <c r="J7" s="7" t="inlineStr">
        <is>
          <t>FINANCE-PREVISIONNEL.md §1 (modèle 100 % freelances, ~4,5× le marché)
CLAUDE.md</t>
        </is>
      </c>
      <c r="K7" s="10" t="inlineStr">
        <is>
          <t>JAMAIS le montant en euros ni en ariary : il révèle la structure de coûts et arme la négociation. Dire « ~4,5× le marché local », rien de plus.</t>
        </is>
      </c>
      <c r="L7" s="7" t="inlineStr">
        <is>
          <t>Le turnover offshore, vous l'avez déjà vécu ? Racontez en commentaire.</t>
        </is>
      </c>
      <c r="M7" s="6" t="inlineStr">
        <is>
          <t>08:00</t>
        </is>
      </c>
      <c r="N7" s="6" t="inlineStr">
        <is>
          <t>VR</t>
        </is>
      </c>
      <c r="O7" s="11" t="n"/>
      <c r="P7" s="11" t="inlineStr">
        <is>
          <t>À préparer</t>
        </is>
      </c>
      <c r="Q7" s="11" t="n"/>
      <c r="R7" s="11" t="n"/>
      <c r="S7" s="11" t="n"/>
      <c r="T7" s="11" t="n"/>
    </row>
    <row r="8" ht="108" customHeight="1">
      <c r="A8" s="6" t="inlineStr">
        <is>
          <t>04/08/2026</t>
        </is>
      </c>
      <c r="B8" s="6" t="inlineStr">
        <is>
          <t>Mardi</t>
        </is>
      </c>
      <c r="C8" s="6" t="inlineStr">
        <is>
          <t>S2</t>
        </is>
      </c>
      <c r="D8" s="7" t="inlineStr">
        <is>
          <t>Rodage août</t>
        </is>
      </c>
      <c r="E8" s="6" t="inlineStr">
        <is>
          <t>Carrousel</t>
        </is>
      </c>
      <c r="F8" s="12" t="inlineStr">
        <is>
          <t>Preuves de méthode</t>
        </is>
      </c>
      <c r="G8" s="7" t="inlineStr">
        <is>
          <t>Éditeurs SaaS &amp; prestataires de support
Head of Support · COO</t>
        </is>
      </c>
      <c r="H8" s="9" t="inlineStr">
        <is>
          <t>Chez nous, un agent ne touche pas un ticket client avant d'avoir franchi 4 étapes.</t>
        </is>
      </c>
      <c r="I8" s="7" t="inlineStr">
        <is>
          <t>Dérouler le pipeline réel : (1) mini-test de qualification 15-20 min (voix, français écrit et oral, mise en situation) ; (2) 2-3 semaines de formation aux process du donneur d'ordre ; (3) grille QA armée et double écoute planifiées AVANT le 1er ticket ; (4) escalade et traçabilité cadrées au périmètre. C'est de la preuve vérifiable — on montre un process, pas un résultat.</t>
        </is>
      </c>
      <c r="J8" s="7" t="inlineStr">
        <is>
          <t>PROCESS-QA-DOUBLE-ECOUTE.md §1
MINI-TEST-Qualification.md
FINANCE-PREVISIONNEL.md §5</t>
        </is>
      </c>
      <c r="K8" s="10" t="inlineStr">
        <is>
          <t>Ne pas diffuser la grille QA elle-même (document interne, ne se transmet pas au client). Montrer les étapes, pas le barème.</t>
        </is>
      </c>
      <c r="L8" s="7" t="inlineStr">
        <is>
          <t>Vous imposez quoi, vous, avant qu'un prestataire touche vos tickets ?</t>
        </is>
      </c>
      <c r="M8" s="6" t="inlineStr">
        <is>
          <t>08:00</t>
        </is>
      </c>
      <c r="N8" s="6" t="inlineStr">
        <is>
          <t>VR</t>
        </is>
      </c>
      <c r="O8" s="11" t="n"/>
      <c r="P8" s="11" t="inlineStr">
        <is>
          <t>À préparer</t>
        </is>
      </c>
      <c r="Q8" s="11" t="n"/>
      <c r="R8" s="11" t="n"/>
      <c r="S8" s="11" t="n"/>
      <c r="T8" s="11" t="n"/>
    </row>
    <row r="9" ht="108" customHeight="1">
      <c r="A9" s="6" t="inlineStr">
        <is>
          <t>06/08/2026</t>
        </is>
      </c>
      <c r="B9" s="6" t="inlineStr">
        <is>
          <t>Jeudi</t>
        </is>
      </c>
      <c r="C9" s="6" t="inlineStr">
        <is>
          <t>S2</t>
        </is>
      </c>
      <c r="D9" s="7" t="inlineStr">
        <is>
          <t>Rodage août</t>
        </is>
      </c>
      <c r="E9" s="6" t="inlineStr">
        <is>
          <t>Photo + légende</t>
        </is>
      </c>
      <c r="F9" s="8" t="inlineStr">
        <is>
          <t>Culture &amp; qualité d'équipe</t>
        </is>
      </c>
      <c r="G9" s="7" t="inlineStr">
        <is>
          <t>Donneurs d'ordre toutes niches</t>
        </is>
      </c>
      <c r="H9" s="9" t="inlineStr">
        <is>
          <t>« Zéro turnover » n'est pas un argument RH. C'est une clause commerciale.</t>
        </is>
      </c>
      <c r="I9" s="7" t="inlineStr">
        <is>
          <t>Le turnover est le coût caché que le client paie deux fois : la formation refaite, et la qualité qui retombe à zéro. Rappeler le repère marché du secteur (~25 %/an en centre de relation client en France) et expliquer la contre-mesure : rémunération hors marché local + feedback structuré par double écoute (faire progresser, pas fliquer). Photo réelle du poste de travail / du hub — jamais de banque d'images.</t>
        </is>
      </c>
      <c r="J9" s="7" t="inlineStr">
        <is>
          <t>PRICING.md §5 (turnover CRC ~25 %/an)
PROCESS-QA-DOUBLE-ECOUTE.md §1</t>
        </is>
      </c>
      <c r="K9" s="10" t="inlineStr">
        <is>
          <t>Pas de photo d'équipe mise en scène ni de stock. Si l'équipe n'est pas activée, photographier le poste/le hub, pas des personnes.</t>
        </is>
      </c>
      <c r="L9" s="7" t="inlineStr">
        <is>
          <t>Le turnover de votre prestataire, vous le suivez ? Dites-moi en commentaire.</t>
        </is>
      </c>
      <c r="M9" s="6" t="inlineStr">
        <is>
          <t>08:00</t>
        </is>
      </c>
      <c r="N9" s="6" t="inlineStr">
        <is>
          <t>VR</t>
        </is>
      </c>
      <c r="O9" s="11" t="n"/>
      <c r="P9" s="11" t="inlineStr">
        <is>
          <t>À préparer</t>
        </is>
      </c>
      <c r="Q9" s="11" t="n"/>
      <c r="R9" s="11" t="n"/>
      <c r="S9" s="11" t="n"/>
      <c r="T9" s="11" t="n"/>
    </row>
    <row r="10" ht="108" customHeight="1">
      <c r="A10" s="6" t="inlineStr">
        <is>
          <t>11/08/2026</t>
        </is>
      </c>
      <c r="B10" s="6" t="inlineStr">
        <is>
          <t>Mardi</t>
        </is>
      </c>
      <c r="C10" s="6" t="inlineStr">
        <is>
          <t>S3</t>
        </is>
      </c>
      <c r="D10" s="7" t="inlineStr">
        <is>
          <t>Rodage août</t>
        </is>
      </c>
      <c r="E10" s="6" t="inlineStr">
        <is>
          <t>Carrousel</t>
        </is>
      </c>
      <c r="F10" s="8" t="inlineStr">
        <is>
          <t>Expertise BPO / Support N1</t>
        </is>
      </c>
      <c r="G10" s="7" t="inlineStr">
        <is>
          <t>Éditeurs SaaS &amp; prestataires de support
Head of Support · COO</t>
        </is>
      </c>
      <c r="H10" s="9" t="inlineStr">
        <is>
          <t>La vraie question n'est pas « quoi externaliser », c'est « où s'arrête le N1 ».</t>
        </is>
      </c>
      <c r="I10" s="7" t="inlineStr">
        <is>
          <t>Mal tracée, la frontière N1/N2 fait remonter des tickets triviaux vers des ingénieurs coûteux — et l'externalisation est jugée sur des escalades qu'elle n'a pas causées. Donner des critères de découpage opérationnels : qualification et priorité, exactitude du diagnostic N1, moment et file d'escalade, traçabilité. Conclure : la ligne se fige au cadrage, par écrit, avant le 1er ticket.</t>
        </is>
      </c>
      <c r="J10" s="7" t="inlineStr">
        <is>
          <t>PROCESS-QA-DOUBLE-ECOUTE.md §3 (critères ticket)
OUTREACH-IT-N1-marque-blanche.md</t>
        </is>
      </c>
      <c r="K10" s="10" t="inlineStr">
        <is>
          <t>Aucun tarif ni volume de pilote chiffré.</t>
        </is>
      </c>
      <c r="L10" s="7" t="inlineStr">
        <is>
          <t>Où passe la ligne chez vous ? Je suis curieux des découpages qui marchent.</t>
        </is>
      </c>
      <c r="M10" s="6" t="inlineStr">
        <is>
          <t>08:00</t>
        </is>
      </c>
      <c r="N10" s="6" t="inlineStr">
        <is>
          <t>VR</t>
        </is>
      </c>
      <c r="O10" s="11" t="n"/>
      <c r="P10" s="11" t="inlineStr">
        <is>
          <t>À préparer</t>
        </is>
      </c>
      <c r="Q10" s="11" t="n"/>
      <c r="R10" s="11" t="n"/>
      <c r="S10" s="11" t="n"/>
      <c r="T10" s="11" t="n"/>
    </row>
    <row r="11" ht="108" customHeight="1">
      <c r="A11" s="6" t="inlineStr">
        <is>
          <t>13/08/2026</t>
        </is>
      </c>
      <c r="B11" s="6" t="inlineStr">
        <is>
          <t>Jeudi</t>
        </is>
      </c>
      <c r="C11" s="6" t="inlineStr">
        <is>
          <t>S3</t>
        </is>
      </c>
      <c r="D11" s="7" t="inlineStr">
        <is>
          <t>Rodage août</t>
        </is>
      </c>
      <c r="E11" s="6" t="inlineStr">
        <is>
          <t>Vidéo &lt; 90 s</t>
        </is>
      </c>
      <c r="F11" s="8" t="inlineStr">
        <is>
          <t>Coulisses de CEO</t>
        </is>
      </c>
      <c r="G11" s="7" t="inlineStr">
        <is>
          <t>Donneurs d'ordre toutes niches</t>
        </is>
      </c>
      <c r="H11" s="9" t="inlineStr">
        <is>
          <t>On m'a dit que travailler sous la marque d'un autre, c'était renoncer à exister. J'ai fait le calcul inverse.</t>
        </is>
      </c>
      <c r="I11" s="7" t="inlineStr">
        <is>
          <t>Assumer publiquement le choix marque blanche d'abord. Deux raisons : (1) un seul donneur d'ordre place plusieurs positions d'un coup, là où il faudrait dix clients finaux pour le même socle ; (2) dire à un partenaire « je n'irai jamais démarcher votre client final » est en soi un argument de vente — c'est une promesse de non-concurrence, pas de la modestie.</t>
        </is>
      </c>
      <c r="J11" s="7" t="inlineStr">
        <is>
          <t>CLAUDE.md (GTM MB-first, 2026-06-10)
IDEAL-CUSTOMER-PROFILE.md — Cible n°1
FINANCE-PREVISIONNEL.md §4</t>
        </is>
      </c>
      <c r="K11" s="10" t="inlineStr">
        <is>
          <t>Ne pas citer le point mort en euros ni le nombre d'ETP au point mort (chiffres internes). Raisonner en logique, pas en montants.</t>
        </is>
      </c>
      <c r="L11" s="7" t="inlineStr">
        <is>
          <t>Marque blanche ou marque propre : vous arbitrez comment ? En commentaire.</t>
        </is>
      </c>
      <c r="M11" s="6" t="inlineStr">
        <is>
          <t>08:00</t>
        </is>
      </c>
      <c r="N11" s="6" t="inlineStr">
        <is>
          <t>VR</t>
        </is>
      </c>
      <c r="O11" s="11" t="n"/>
      <c r="P11" s="11" t="inlineStr">
        <is>
          <t>À préparer</t>
        </is>
      </c>
      <c r="Q11" s="11" t="n"/>
      <c r="R11" s="11" t="n"/>
      <c r="S11" s="11" t="n"/>
      <c r="T11" s="11" t="n"/>
    </row>
    <row r="12" ht="108" customHeight="1">
      <c r="A12" s="6" t="inlineStr">
        <is>
          <t>18/08/2026</t>
        </is>
      </c>
      <c r="B12" s="6" t="inlineStr">
        <is>
          <t>Mardi</t>
        </is>
      </c>
      <c r="C12" s="6" t="inlineStr">
        <is>
          <t>S4</t>
        </is>
      </c>
      <c r="D12" s="7" t="inlineStr">
        <is>
          <t>Rodage août</t>
        </is>
      </c>
      <c r="E12" s="6" t="inlineStr">
        <is>
          <t>Carrousel</t>
        </is>
      </c>
      <c r="F12" s="8" t="inlineStr">
        <is>
          <t>Expertise BPO / Support N1</t>
        </is>
      </c>
      <c r="G12" s="7" t="inlineStr">
        <is>
          <t>ESN/MSP + éditeurs SaaS
DG · COO · Head of Support</t>
        </is>
      </c>
      <c r="H12" s="9" t="inlineStr">
        <is>
          <t>Un technicien support N1 payé 30 k€ ne coûte pas 30 k€. Décomposition.</t>
        </is>
      </c>
      <c r="I12" s="7" t="inlineStr">
        <is>
          <t>Le seul chiffre public défendable du dossier : brut 26-34 k€/an → coût employeur complet 38-50 k€/an (~3 200-4 200 €/mois), et au-delà de 50 k€ en ESN d'Île-de-France une fois intégrés congés, management, formation, turnover, matériel, licences et locaux. Le point du post : le vrai comparatif d'une externalisation n'est pas le salaire, c'est le coût complet — et presque personne ne le calcule.</t>
        </is>
      </c>
      <c r="J12" s="7" t="inlineStr">
        <is>
          <t>PRICING.md §3 et §5 (benchmark différencié par métier, révisé 2026-07-12)</t>
        </is>
      </c>
      <c r="K12" s="10" t="inlineStr">
        <is>
          <t>Donner le coût CLIENT, jamais notre prix. Aucune phrase du type « et nous, c'est X ». Le comparatif chiffré se fait en cadrage, pas en public.</t>
        </is>
      </c>
      <c r="L12" s="7" t="inlineStr">
        <is>
          <t>Vous l'avez calculé, votre coût complet par poste N1 ? Le chiffre surprend souvent.</t>
        </is>
      </c>
      <c r="M12" s="6" t="inlineStr">
        <is>
          <t>08:00</t>
        </is>
      </c>
      <c r="N12" s="6" t="inlineStr">
        <is>
          <t>VR</t>
        </is>
      </c>
      <c r="O12" s="11" t="n"/>
      <c r="P12" s="11" t="inlineStr">
        <is>
          <t>À préparer</t>
        </is>
      </c>
      <c r="Q12" s="11" t="n"/>
      <c r="R12" s="11" t="n"/>
      <c r="S12" s="11" t="n"/>
      <c r="T12" s="11" t="n"/>
    </row>
    <row r="13" ht="108" customHeight="1">
      <c r="A13" s="6" t="inlineStr">
        <is>
          <t>20/08/2026</t>
        </is>
      </c>
      <c r="B13" s="6" t="inlineStr">
        <is>
          <t>Jeudi</t>
        </is>
      </c>
      <c r="C13" s="6" t="inlineStr">
        <is>
          <t>S4</t>
        </is>
      </c>
      <c r="D13" s="7" t="inlineStr">
        <is>
          <t>Rodage août</t>
        </is>
      </c>
      <c r="E13" s="6" t="inlineStr">
        <is>
          <t>Photo + légende</t>
        </is>
      </c>
      <c r="F13" s="12" t="inlineStr">
        <is>
          <t>Preuves de méthode</t>
        </is>
      </c>
      <c r="G13" s="7" t="inlineStr">
        <is>
          <t>Éditeurs SaaS &amp; prestataires de support
Head of Support · COO</t>
        </is>
      </c>
      <c r="H13" s="9" t="inlineStr">
        <is>
          <t>Avant le premier ticket, mon partenaire sait déjà exactement ce qu'il recevra chaque semaine.</t>
        </is>
      </c>
      <c r="I13" s="7" t="inlineStr">
        <is>
          <t>Montrer le gabarit de reporting hebdomadaire partenaire — à blanc, champs vides. L'argument : en marque blanche, le donneur d'ordre engage sa propre réputation ; il ne doit pas avoir à demander des nouvelles. Le reporting est défini au cadrage, pas improvisé au 1er incident. « Le client mesure, il ne croit pas sur parole. »</t>
        </is>
      </c>
      <c r="J13" s="7" t="inlineStr">
        <is>
          <t>MODELE-REPORTING-CLIENT.md (gabarit B — MB partenaire, hebdo)</t>
        </is>
      </c>
      <c r="K13" s="10" t="inlineStr">
        <is>
          <t>Gabarit VIDE uniquement. Ne jamais remplir d'exemple chiffré : un chiffre de démo est lu comme un résultat réel.</t>
        </is>
      </c>
      <c r="L13" s="7" t="inlineStr">
        <is>
          <t>Vous demandez quoi comme reporting à vos sous-traitants ? En commentaire.</t>
        </is>
      </c>
      <c r="M13" s="6" t="inlineStr">
        <is>
          <t>08:00</t>
        </is>
      </c>
      <c r="N13" s="6" t="inlineStr">
        <is>
          <t>VR</t>
        </is>
      </c>
      <c r="O13" s="11" t="n"/>
      <c r="P13" s="11" t="inlineStr">
        <is>
          <t>À préparer</t>
        </is>
      </c>
      <c r="Q13" s="11" t="n"/>
      <c r="R13" s="11" t="n"/>
      <c r="S13" s="11" t="n"/>
      <c r="T13" s="11" t="n"/>
    </row>
    <row r="14" ht="108" customHeight="1">
      <c r="A14" s="6" t="inlineStr">
        <is>
          <t>25/08/2026</t>
        </is>
      </c>
      <c r="B14" s="6" t="inlineStr">
        <is>
          <t>Mardi</t>
        </is>
      </c>
      <c r="C14" s="6" t="inlineStr">
        <is>
          <t>S5</t>
        </is>
      </c>
      <c r="D14" s="7" t="inlineStr">
        <is>
          <t>Rodage août</t>
        </is>
      </c>
      <c r="E14" s="6" t="inlineStr">
        <is>
          <t>Carrousel</t>
        </is>
      </c>
      <c r="F14" s="12" t="inlineStr">
        <is>
          <t>Preuves de méthode</t>
        </is>
      </c>
      <c r="G14" s="7" t="inlineStr">
        <is>
          <t>Télésecrétariats médicaux FR (niche 2)
+ tout prospect qui objecte l'offshore</t>
        </is>
      </c>
      <c r="H14" s="9" t="inlineStr">
        <is>
          <t>« Vous êtes à Madagascar, donc c'est non pour du médical. » C'est l'objection que j'entends le plus.</t>
        </is>
      </c>
      <c r="I14" s="7" t="inlineStr">
        <is>
          <t>Traiter frontalement l'objection n°1. Trois points : (1) la certification HDS porte sur l'HÉBERGEMENT des données de santé, pas sur la téléphonie — « une téléphonie HDS » ne veut rien dire ; (2) le vrai sujet est l'accès depuis un pays hors UE, encadré par le RGPD ; (3) la réponse structurelle est de ne pas créer de donnée de santé côté prestataire — saisie directe dans l'outil du cabinet, qui reste hébergeur.</t>
        </is>
      </c>
      <c r="J14" s="7" t="inlineStr">
        <is>
          <t>CONFORMITE-HDS-RGPD.md §1, §2, §3</t>
        </is>
      </c>
      <c r="K14" s="10" t="inlineStr">
        <is>
          <t>INTERDIT d'écrire ou de laisser entendre « notre téléphonie est HDS » (faux, et le doc l'interdit explicitement). Ne pas commenter le décret souveraineté tant que les textes d'application ne sont pas sortis.</t>
        </is>
      </c>
      <c r="L14" s="7" t="inlineStr">
        <is>
          <t>Cette objection, on vous la fait aussi ? Vous y répondez comment ?</t>
        </is>
      </c>
      <c r="M14" s="6" t="inlineStr">
        <is>
          <t>08:00</t>
        </is>
      </c>
      <c r="N14" s="6" t="inlineStr">
        <is>
          <t>VR</t>
        </is>
      </c>
      <c r="O14" s="11" t="n"/>
      <c r="P14" s="11" t="inlineStr">
        <is>
          <t>À préparer</t>
        </is>
      </c>
      <c r="Q14" s="11" t="n"/>
      <c r="R14" s="11" t="n"/>
      <c r="S14" s="11" t="n"/>
      <c r="T14" s="11" t="n"/>
    </row>
    <row r="15" ht="108" customHeight="1">
      <c r="A15" s="6" t="inlineStr">
        <is>
          <t>27/08/2026</t>
        </is>
      </c>
      <c r="B15" s="6" t="inlineStr">
        <is>
          <t>Jeudi</t>
        </is>
      </c>
      <c r="C15" s="6" t="inlineStr">
        <is>
          <t>S5</t>
        </is>
      </c>
      <c r="D15" s="7" t="inlineStr">
        <is>
          <t>Rodage août</t>
        </is>
      </c>
      <c r="E15" s="6" t="inlineStr">
        <is>
          <t>Vidéo &lt; 90 s</t>
        </is>
      </c>
      <c r="F15" s="8" t="inlineStr">
        <is>
          <t>Coulisses de CEO</t>
        </is>
      </c>
      <c r="G15" s="7" t="inlineStr">
        <is>
          <t>Donneurs d'ordre toutes niches</t>
        </is>
      </c>
      <c r="H15" s="9" t="inlineStr">
        <is>
          <t>Un prospect m'a demandé un essai gratuit. J'ai dit non.</t>
        </is>
      </c>
      <c r="I15" s="7" t="inlineStr">
        <is>
          <t>Expliquer pourquoi il n'y a pas de gratuit chez nous mais un premier mois à -50 % : un démarrage a un coût réel (cadrage, formation aux process du partenaire, paramétrage), et le gratuit attire les tests sans intention tout en signalant qu'on ne croit pas à sa propre valeur. Le message de fond : je préfère un partenaire qui engage un mois qu'un curieux qui consomme un onboarding.</t>
        </is>
      </c>
      <c r="J15" s="7" t="inlineStr">
        <is>
          <t>PRICING.md §7 (offre de lancement 1er mois -50 %)
PRICING.md §1.c (mise en service affichée puis offerte)</t>
        </is>
      </c>
      <c r="K15" s="10" t="inlineStr">
        <is>
          <t>Le « 1er mois à -50 % » est public et citable. Les tarifs ETP marque blanche, non — jamais, sous aucune forme, même en fourchette.</t>
        </is>
      </c>
      <c r="L15" s="7" t="inlineStr">
        <is>
          <t>Essai gratuit ou pilote payant : vous êtes de quel côté ? En commentaire.</t>
        </is>
      </c>
      <c r="M15" s="6" t="inlineStr">
        <is>
          <t>08:00</t>
        </is>
      </c>
      <c r="N15" s="6" t="inlineStr">
        <is>
          <t>VR</t>
        </is>
      </c>
      <c r="O15" s="11" t="n"/>
      <c r="P15" s="11" t="inlineStr">
        <is>
          <t>À préparer</t>
        </is>
      </c>
      <c r="Q15" s="11" t="n"/>
      <c r="R15" s="11" t="n"/>
      <c r="S15" s="11" t="n"/>
      <c r="T15" s="11" t="n"/>
    </row>
    <row r="16" ht="108" customHeight="1">
      <c r="A16" s="13" t="inlineStr">
        <is>
          <t>01/09/2026</t>
        </is>
      </c>
      <c r="B16" s="13" t="inlineStr">
        <is>
          <t>Mardi</t>
        </is>
      </c>
      <c r="C16" s="13" t="inlineStr">
        <is>
          <t>S6</t>
        </is>
      </c>
      <c r="D16" s="14" t="inlineStr">
        <is>
          <t>RENTRÉE — 3/sem</t>
        </is>
      </c>
      <c r="E16" s="13" t="inlineStr">
        <is>
          <t>Carrousel</t>
        </is>
      </c>
      <c r="F16" s="15" t="inlineStr">
        <is>
          <t>Expertise BPO / Support N1</t>
        </is>
      </c>
      <c r="G16" s="14" t="inlineStr">
        <is>
          <t>Éditeurs SaaS &amp; prestataires de support
Head of Support · COO</t>
        </is>
      </c>
      <c r="H16" s="16" t="inlineStr">
        <is>
          <t>Votre support N1 ne coûte pas ce qu'affiche votre ligne budgétaire. 5 signes.</t>
        </is>
      </c>
      <c r="I16" s="14" t="inlineStr">
        <is>
          <t>Le post de fond de la rentrée — placé sur la meilleure fenêtre de diffusion de l'année. Les 5 signes : (1) le N2 traite des tickets N1 ; (2) 60 à 90 jours pour recruter un N1 et le poste reste ouvert ; (3) le turnover remet le compteur de formation à zéro ; (4) une plage horaire n'est couverte par personne ; (5) les escalades augmentent alors que le volume est stable. Chaque signe = un coût chiffrable.</t>
        </is>
      </c>
      <c r="J16" s="14" t="inlineStr">
        <is>
          <t>PRICING.md §5 (délai de recrutement 60-90 j, turnover)
PROCESS-QA-DOUBLE-ECOUTE.md §3
ESN-TARGETS.md</t>
        </is>
      </c>
      <c r="K16" s="17" t="inlineStr">
        <is>
          <t>Aucun tarif. Aucun nom de prospect.</t>
        </is>
      </c>
      <c r="L16" s="14" t="inlineStr">
        <is>
          <t>Combien de ces 5 signes cochez-vous ? Répondez en commentaire, je détaille.</t>
        </is>
      </c>
      <c r="M16" s="13" t="inlineStr">
        <is>
          <t>08:00</t>
        </is>
      </c>
      <c r="N16" s="13" t="inlineStr">
        <is>
          <t>VR</t>
        </is>
      </c>
      <c r="O16" s="11" t="n"/>
      <c r="P16" s="11" t="inlineStr">
        <is>
          <t>À préparer</t>
        </is>
      </c>
      <c r="Q16" s="11" t="n"/>
      <c r="R16" s="11" t="n"/>
      <c r="S16" s="11" t="n"/>
      <c r="T16" s="11" t="n"/>
    </row>
    <row r="17" ht="108" customHeight="1">
      <c r="A17" s="13" t="inlineStr">
        <is>
          <t>02/09/2026</t>
        </is>
      </c>
      <c r="B17" s="13" t="inlineStr">
        <is>
          <t>Mercredi</t>
        </is>
      </c>
      <c r="C17" s="13" t="inlineStr">
        <is>
          <t>S6</t>
        </is>
      </c>
      <c r="D17" s="14" t="inlineStr">
        <is>
          <t>RENTRÉE — 3/sem</t>
        </is>
      </c>
      <c r="E17" s="13" t="inlineStr">
        <is>
          <t>Vidéo &lt; 90 s</t>
        </is>
      </c>
      <c r="F17" s="15" t="inlineStr">
        <is>
          <t>Coulisses de CEO</t>
        </is>
      </c>
      <c r="G17" s="14" t="inlineStr">
        <is>
          <t>Donneurs d'ordre toutes niches</t>
        </is>
      </c>
      <c r="H17" s="16" t="inlineStr">
        <is>
          <t>Avant de signer un partenariat, je pose une seule question. Elle fait reculer un partenaire sur trois — tant mieux.</t>
        </is>
      </c>
      <c r="I17" s="14" t="inlineStr">
        <is>
          <t>La question : « qu'est-ce qui doit être vrai dans 90 jours pour que vous considériez ça comme réussi ? » Elle force à figer par écrit le KPI et le périmètre au cadrage — SLA de première réponse, SLA de prise en charge ou taux de décroché selon la niche. Sans KPI figé, une marque blanche finit toujours en désaccord sur ce qui était promis. Un partenaire qui ne sait pas répondre n'est pas prêt.</t>
        </is>
      </c>
      <c r="J17" s="14" t="inlineStr">
        <is>
          <t>PRICING.md §7 (KPI par niche, seuil figé au cadrage)
ONBOARDING-CLIENT.md</t>
        </is>
      </c>
      <c r="K17" s="17" t="inlineStr">
        <is>
          <t>Ne pas citer les seuils contractuels précis ni le mécanisme d'avoir : ça se négocie au cadrage.</t>
        </is>
      </c>
      <c r="L17" s="14" t="inlineStr">
        <is>
          <t>Vous la figez comment, la définition du succès, avec vos prestataires ?</t>
        </is>
      </c>
      <c r="M17" s="13" t="inlineStr">
        <is>
          <t>08:00</t>
        </is>
      </c>
      <c r="N17" s="13" t="inlineStr">
        <is>
          <t>VR</t>
        </is>
      </c>
      <c r="O17" s="11" t="n"/>
      <c r="P17" s="11" t="inlineStr">
        <is>
          <t>À préparer</t>
        </is>
      </c>
      <c r="Q17" s="11" t="n"/>
      <c r="R17" s="11" t="n"/>
      <c r="S17" s="11" t="n"/>
      <c r="T17" s="11" t="n"/>
    </row>
    <row r="18" ht="108" customHeight="1">
      <c r="A18" s="13" t="inlineStr">
        <is>
          <t>03/09/2026</t>
        </is>
      </c>
      <c r="B18" s="13" t="inlineStr">
        <is>
          <t>Jeudi</t>
        </is>
      </c>
      <c r="C18" s="13" t="inlineStr">
        <is>
          <t>S6</t>
        </is>
      </c>
      <c r="D18" s="14" t="inlineStr">
        <is>
          <t>RENTRÉE — 3/sem</t>
        </is>
      </c>
      <c r="E18" s="13" t="inlineStr">
        <is>
          <t>Photo + légende</t>
        </is>
      </c>
      <c r="F18" s="15" t="inlineStr">
        <is>
          <t>Culture &amp; qualité d'équipe</t>
        </is>
      </c>
      <c r="G18" s="14" t="inlineStr">
        <is>
          <t>Donneurs d'ordre toutes niches</t>
        </is>
      </c>
      <c r="H18" s="16" t="inlineStr">
        <is>
          <t>Voici qui répondra de vos tickets. (à adapter au manager IT réellement contractualisé)</t>
        </is>
      </c>
      <c r="I18" s="14" t="inlineStr">
        <is>
          <t>Présenter le manager IT une fois qu'il est réellement engagé : parcours, ce dont il répond, comment il arbitre une escalade. Un donneur d'ordre ne confie pas ses tickets à une société, il les confie à quelqu'un. Post à fort effet de réassurance — mais uniquement s'il est vrai.</t>
        </is>
      </c>
      <c r="J18" s="14" t="inlineStr">
        <is>
          <t>RETROPLANNING-LANCEMENT.md (verrouillage manager IT)
07-Recrutement-Vivier/</t>
        </is>
      </c>
      <c r="K18" s="17" t="inlineStr">
        <is>
          <t>À NE PUBLIER QUE si la personne est contractualisée ET a donné son accord écrit (image + NDA signée). Sinon : basculer sur un sujet de la Banque de sujets.</t>
        </is>
      </c>
      <c r="L18" s="14" t="inlineStr">
        <is>
          <t>Qui pilote la qualité chez votre prestataire ? Vous le connaissez ?</t>
        </is>
      </c>
      <c r="M18" s="13" t="inlineStr">
        <is>
          <t>08:00</t>
        </is>
      </c>
      <c r="N18" s="13" t="inlineStr">
        <is>
          <t>VR</t>
        </is>
      </c>
      <c r="O18" s="11" t="n"/>
      <c r="P18" s="11" t="inlineStr">
        <is>
          <t>À préparer</t>
        </is>
      </c>
      <c r="Q18" s="11" t="n"/>
      <c r="R18" s="11" t="n"/>
      <c r="S18" s="11" t="n"/>
      <c r="T18" s="11" t="n"/>
    </row>
    <row r="20">
      <c r="A20" s="18" t="inlineStr">
        <is>
          <t>LÉGENDE / MODE D'EMPLOI</t>
        </is>
      </c>
    </row>
    <row r="21">
      <c r="A21" s="19" t="inlineStr">
        <is>
          <t>• Cellules JAUNES (Prod. le, Statut, Lien, Portée, Comm., DM) = les seules à remplir au fil de l'eau. Le reste est figé au cadrage.</t>
        </is>
      </c>
    </row>
    <row r="22">
      <c r="A22" s="19" t="inlineStr">
        <is>
          <t>• Fond greige = phase de rodage août (2 posts/sem., mardi + jeudi). Fond vert clair = rentrée (3 posts/sem., mardi/mercredi/jeudi).</t>
        </is>
      </c>
    </row>
    <row r="23">
      <c r="A23" s="19" t="inlineStr">
        <is>
          <t>• « Prod. le » = date du bloc de production hebdomadaire. C'est LE vrai jalon : un post non produit le jour du bloc ne sera pas publié.</t>
        </is>
      </c>
    </row>
    <row r="24">
      <c r="A24" s="19" t="inlineStr">
        <is>
          <t>• Heure fixe 08:00 sur tous les posts : c'est volontaire — seule une heure constante permet de comparer la portée entre piliers (KPI).</t>
        </is>
      </c>
    </row>
    <row r="25">
      <c r="A25" s="19" t="inlineStr">
        <is>
          <t>• Colonne GARDE-FOU : à lire AVANT d'écrire le post. Elle liste ce qui ne doit pas sortir (tarifs marque blanche, résultats non prouvés, HDS).</t>
        </is>
      </c>
    </row>
    <row r="26">
      <c r="A26" s="19" t="inlineStr">
        <is>
          <t>• Exemple de remplissage (ligne fictive, à ne pas publier) : Prod. le = 03/08/2026 · Statut = Publié · Portée = 1 240 · Comm. = 11 · DM entrants = 2.</t>
        </is>
      </c>
    </row>
  </sheetData>
  <mergeCells count="3">
    <mergeCell ref="A1:T1"/>
    <mergeCell ref="A3:T3"/>
    <mergeCell ref="A2:T2"/>
  </mergeCells>
  <dataValidations count="2">
    <dataValidation sqref="P6:P18" showDropDown="0" showInputMessage="0" showErrorMessage="0" allowBlank="1" type="list">
      <formula1>"À préparer,En production,Prêt,Publié,Reporté"</formula1>
    </dataValidation>
    <dataValidation sqref="E6:E18" showDropDown="0" showInputMessage="0" showErrorMessage="0" allowBlank="1" type="list">
      <formula1>"Carrousel,Vidéo &lt; 90 s,Photo + légende,Texte seul"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22" customWidth="1" min="1" max="1"/>
    <col width="14" customWidth="1" min="2" max="2"/>
    <col width="46" customWidth="1" min="3" max="3"/>
    <col width="62" customWidth="1" min="4" max="4"/>
    <col width="30" customWidth="1" min="5" max="5"/>
    <col width="34" customWidth="1" min="6" max="6"/>
  </cols>
  <sheetData>
    <row r="1">
      <c r="A1" s="20" t="inlineStr">
        <is>
          <t>BANQUE DE SUJETS — remplacement immédiat si un post ne peut pas être produit</t>
        </is>
      </c>
    </row>
    <row r="2">
      <c r="A2" s="2" t="inlineStr">
        <is>
          <t>Règle : on ne saute jamais une date. Si le contenu prévu n'est pas produisible (tournage, accord d'une personne, actualité), on prend un sujet ici — même pilier si possible.</t>
        </is>
      </c>
    </row>
    <row r="4" ht="28" customHeight="1">
      <c r="A4" s="5" t="inlineStr">
        <is>
          <t>Pilier</t>
        </is>
      </c>
      <c r="B4" s="5" t="inlineStr">
        <is>
          <t>Format</t>
        </is>
      </c>
      <c r="C4" s="5" t="inlineStr">
        <is>
          <t>Accroche</t>
        </is>
      </c>
      <c r="D4" s="5" t="inlineStr">
        <is>
          <t>Angle</t>
        </is>
      </c>
      <c r="E4" s="5" t="inlineStr">
        <is>
          <t>Source interne</t>
        </is>
      </c>
      <c r="F4" s="5" t="inlineStr">
        <is>
          <t>Garde-fou</t>
        </is>
      </c>
    </row>
    <row r="5" ht="92" customHeight="1">
      <c r="A5" s="7" t="inlineStr">
        <is>
          <t>Expertise BPO / Support N1</t>
        </is>
      </c>
      <c r="B5" s="7" t="inlineStr">
        <is>
          <t>Carrousel</t>
        </is>
      </c>
      <c r="C5" s="9" t="inlineStr">
        <is>
          <t>Recruter un N1 en France prend 60 à 90 jours. Que faites-vous pendant ce temps-là ?</t>
        </is>
      </c>
      <c r="D5" s="7" t="inlineStr">
        <is>
          <t>Le coût d'attente : les tickets ne s'arrêtent pas pendant le recrutement. Détailler ce que coûtent 90 jours de sous-capacité (SLA dégradés, N2 détourné, churn client), puis poser la soupape comme réponse temporaire ou permanente — au choix du partenaire.</t>
        </is>
      </c>
      <c r="E5" s="7" t="inlineStr">
        <is>
          <t>PRICING.md §5 (délai 60-90 j)
ESN-TARGETS.md</t>
        </is>
      </c>
      <c r="F5" s="10" t="inlineStr">
        <is>
          <t>Aucun tarif, aucun nom de prospect du CRM.</t>
        </is>
      </c>
    </row>
    <row r="6" ht="92" customHeight="1">
      <c r="A6" s="7" t="inlineStr">
        <is>
          <t>Preuves de méthode</t>
        </is>
      </c>
      <c r="B6" s="7" t="inlineStr">
        <is>
          <t>Photo + légende</t>
        </is>
      </c>
      <c r="C6" s="9" t="inlineStr">
        <is>
          <t>Comment on note un ticket sans fliquer l'agent.</t>
        </is>
      </c>
      <c r="D6" s="7" t="inlineStr">
        <is>
          <t>La double écoute expliquée côté humain : un référentiel unique de notation, des critères critiques qui font basculer une fiche en rouge quel que soit le total, et un objectif affiché de progression. Montre à la fois le sérieux qualité (argument client) et la culture (argument recrutement).</t>
        </is>
      </c>
      <c r="E6" s="7" t="inlineStr">
        <is>
          <t>PROCESS-QA-DOUBLE-ECOUTE.md §1 à §4</t>
        </is>
      </c>
      <c r="F6" s="10" t="inlineStr">
        <is>
          <t>Ne pas publier la grille ni les pondérations (document interne).</t>
        </is>
      </c>
    </row>
    <row r="7" ht="92" customHeight="1">
      <c r="A7" s="7" t="inlineStr">
        <is>
          <t>Expertise BPO / Support N1</t>
        </is>
      </c>
      <c r="B7" s="7" t="inlineStr">
        <is>
          <t>Carrousel</t>
        </is>
      </c>
      <c r="C7" s="9" t="inlineStr">
        <is>
          <t>Débordement, astreinte, pics saisonniers : trois besoins que tout le monde confond.</t>
        </is>
      </c>
      <c r="D7" s="7" t="inlineStr">
        <is>
          <t>Distinguer les trois régimes de capacité et montrer que chacun se contractualise différemment (capacité réservée vs à la demande vs engagement de volume). Utile pour les ESN comme pour les télésecrétariats médicaux — un post qui sert les deux niches.</t>
        </is>
      </c>
      <c r="E7" s="7" t="inlineStr">
        <is>
          <t>PRICING.md §1.b (créneaux) et §3 (modèles de tarification)
IDEAL-CUSTOMER-PROFILE.md</t>
        </is>
      </c>
      <c r="F7" s="10" t="inlineStr">
        <is>
          <t>Ne pas donner les modèles tarifaires chiffrés. Parler des régimes, pas des prix.</t>
        </is>
      </c>
    </row>
    <row r="8" ht="92" customHeight="1">
      <c r="A8" s="7" t="inlineStr">
        <is>
          <t>Coulisses de CEO</t>
        </is>
      </c>
      <c r="B8" s="7" t="inlineStr">
        <is>
          <t>Vidéo &lt; 90 s</t>
        </is>
      </c>
      <c r="C8" s="9" t="inlineStr">
        <is>
          <t>J'ai commencé par écrire les process, avant d'avoir un seul client. Voilà pourquoi.</t>
        </is>
      </c>
      <c r="D8" s="7" t="inlineStr">
        <is>
          <t>Le renversement : dans le BPO, presque tout le monde vend d'abord et industrialise ensuite — et c'est là que la qualité se perd. Raconter le choix inverse (QA, reporting, escalades, DPA écrits avant le 1er contrat) et ce que ça change pour le premier partenaire qui signera.</t>
        </is>
      </c>
      <c r="E8" s="7" t="inlineStr">
        <is>
          <t>PROCESS-QA-DOUBLE-ECOUTE.md · MODELE-REPORTING-CLIENT.md · MODELE-DPA-RGPD.md</t>
        </is>
      </c>
      <c r="F8" s="10" t="inlineStr">
        <is>
          <t>Assumer qu'on démarre — ne jamais laisser croire à un historique client qui n'existe pas.</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5" customWidth="1" min="1" max="1"/>
    <col width="44" customWidth="1" min="2" max="2"/>
    <col width="62" customWidth="1" min="3" max="3"/>
    <col width="34" customWidth="1" min="4" max="4"/>
  </cols>
  <sheetData>
    <row r="1">
      <c r="A1" s="20" t="inlineStr">
        <is>
          <t>RÈGLES ÉDITORIALES &amp; GARDE-FOUS — à relire avant chaque bloc de production</t>
        </is>
      </c>
    </row>
    <row r="3" ht="24" customHeight="1">
      <c r="A3" s="4" t="inlineStr">
        <is>
          <t>#</t>
        </is>
      </c>
      <c r="B3" s="4" t="inlineStr">
        <is>
          <t>Règle</t>
        </is>
      </c>
      <c r="C3" s="4" t="inlineStr">
        <is>
          <t>Pourquoi</t>
        </is>
      </c>
      <c r="D3" s="4" t="inlineStr">
        <is>
          <t>Source</t>
        </is>
      </c>
    </row>
    <row r="4" ht="62" customHeight="1">
      <c r="A4" s="6" t="inlineStr">
        <is>
          <t>R1</t>
        </is>
      </c>
      <c r="B4" s="21" t="inlineStr">
        <is>
          <t>Aucun tarif marque blanche, sous aucune forme</t>
        </is>
      </c>
      <c r="C4" s="7" t="inlineStr">
        <is>
          <t>La rate card partenaire (prix de gros par position) est l'input de marge du revendeur. La publier détruit la négociation et le positionnement. Elle ne se remet qu'au cadrage, sous NDA.</t>
        </is>
      </c>
      <c r="D4" s="7" t="inlineStr">
        <is>
          <t>PRICING.md §0 et §3</t>
        </is>
      </c>
    </row>
    <row r="5" ht="62" customHeight="1">
      <c r="A5" s="6" t="inlineStr">
        <is>
          <t>R2</t>
        </is>
      </c>
      <c r="B5" s="21" t="inlineStr">
        <is>
          <t>Aucun résultat client tant qu'aucun client n'est signé</t>
        </is>
      </c>
      <c r="C5" s="7" t="inlineStr">
        <is>
          <t>Le 1er contrat marque blanche est visé entre le 11 et le 23 août. Publier une étude de cas ou un chiffre de performance avant ça, c'est fabriquer une preuve — exactement ce qu'un donneur d'ordre vérifie avant de sous-traiter sa relation client.</t>
        </is>
      </c>
      <c r="D5" s="7" t="inlineStr">
        <is>
          <t>RETROPLANNING-LANCEMENT.md §1 · Stratégie perso. §6 (règle d'or)</t>
        </is>
      </c>
    </row>
    <row r="6" ht="62" customHeight="1">
      <c r="A6" s="6" t="inlineStr">
        <is>
          <t>R3</t>
        </is>
      </c>
      <c r="B6" s="21" t="inlineStr">
        <is>
          <t>Jamais « notre téléphonie est HDS »</t>
        </is>
      </c>
      <c r="C6" s="7" t="inlineStr">
        <is>
          <t>L'affirmation est fausse : HDS certifie l'hébergement de données de santé, pas un opérateur télécom. Une seule occurrence publique suffit à disqualifier le discours conformité auprès d'un télésecrétariat.</t>
        </is>
      </c>
      <c r="D6" s="7" t="inlineStr">
        <is>
          <t>CONFORMITE-HDS-RGPD.md §1</t>
        </is>
      </c>
    </row>
    <row r="7" ht="62" customHeight="1">
      <c r="A7" s="6" t="inlineStr">
        <is>
          <t>R4</t>
        </is>
      </c>
      <c r="B7" s="21" t="inlineStr">
        <is>
          <t>Jamais le montant de rémunération des agents en euros ou en ariary</t>
        </is>
      </c>
      <c r="C7" s="7" t="inlineStr">
        <is>
          <t>Le multiple (« ~4,5× le marché local ») est un argument. Le montant absolu révèle la structure de coûts et arme la négociation du donneur d'ordre sur notre marge.</t>
        </is>
      </c>
      <c r="D7" s="7" t="inlineStr">
        <is>
          <t>FINANCE-PREVISIONNEL.md §1</t>
        </is>
      </c>
    </row>
    <row r="8" ht="62" customHeight="1">
      <c r="A8" s="6" t="inlineStr">
        <is>
          <t>R5</t>
        </is>
      </c>
      <c r="B8" s="21" t="inlineStr">
        <is>
          <t>Aucune photo de banque d'images, aucune mise en scène</t>
        </is>
      </c>
      <c r="C8" s="7" t="inlineStr">
        <is>
          <t>Tout le bénéfice du personal branding ici est la crédibilité d'un fondateur qui opère lui-même. Une photo de stock repérée annule le reste. En l'absence de visuel réel : poste de travail, documents, écran — ou basculer sur un format texte.</t>
        </is>
      </c>
      <c r="D8" s="7" t="inlineStr">
        <is>
          <t>Stratégie personal branding §1 (angle différenciant)</t>
        </is>
      </c>
    </row>
    <row r="9" ht="62" customHeight="1">
      <c r="A9" s="6" t="inlineStr">
        <is>
          <t>R6</t>
        </is>
      </c>
      <c r="B9" s="21" t="inlineStr">
        <is>
          <t>Aucun nom de prospect issu du CRM, jamais</t>
        </is>
      </c>
      <c r="C9" s="7" t="inlineStr">
        <is>
          <t>Les analyses prospects et cibles nommées sont internes. Citer publiquement une société ciblée grille l'approche commerciale et expose une intention de démarchage.</t>
        </is>
      </c>
      <c r="D9" s="7" t="inlineStr">
        <is>
          <t>03-Cibles-Prospects/ (tous fichiers)</t>
        </is>
      </c>
    </row>
    <row r="10" ht="62" customHeight="1">
      <c r="A10" s="6" t="inlineStr">
        <is>
          <t>R7</t>
        </is>
      </c>
      <c r="B10" s="21" t="inlineStr">
        <is>
          <t>Un post = une niche identifiée, décideur nommé dans la colonne « Cible »</t>
        </is>
      </c>
      <c r="C10" s="7" t="inlineStr">
        <is>
          <t>Le GTM est marque blanche d'abord : les décideurs visés sont Head of Support / COO (éditeurs et prestataires de support) et DG / Directeur des Opérations / Directeur Delivery (ESN et MSP). Jamais la direction commerciale, jamais les RH.</t>
        </is>
      </c>
      <c r="D10" s="7" t="inlineStr">
        <is>
          <t>IDEAL-CUSTOMER-PROFILE.md §1.a et §1.b · OUTREACH-IT-N1-marque-blanche.md</t>
        </is>
      </c>
    </row>
    <row r="11" ht="62" customHeight="1">
      <c r="A11" s="6" t="inlineStr">
        <is>
          <t>R8</t>
        </is>
      </c>
      <c r="B11" s="21" t="inlineStr">
        <is>
          <t>Pas de lien sortant dans le corps du post</t>
        </is>
      </c>
      <c r="C11" s="7" t="inlineStr">
        <is>
          <t>Un lien externe casse la portée organique. Le CTA est une invitation à commenter ou à écrire en message privé — c'est là que se construit le lead à cet horizon.</t>
        </is>
      </c>
      <c r="D11" s="7" t="inlineStr">
        <is>
          <t>Stratégie personal branding §5</t>
        </is>
      </c>
    </row>
    <row r="12" ht="62" customHeight="1">
      <c r="A12" s="6" t="inlineStr">
        <is>
          <t>R9</t>
        </is>
      </c>
      <c r="B12" s="21" t="inlineStr">
        <is>
          <t>80 % du temps LinkedIn en interaction, 20 % en création</t>
        </is>
      </c>
      <c r="C12" s="7" t="inlineStr">
        <is>
          <t>À 4-6 mois d'horizon de traction, les demandes entrantes viennent des commentaires et des messages privés, pas du volume de publication. Si l'arbitrage doit se faire, on sacrifie un post, jamais la routine quotidienne d'interaction.</t>
        </is>
      </c>
      <c r="D12" s="7" t="inlineStr">
        <is>
          <t>Stratégie personal branding §7</t>
        </is>
      </c>
    </row>
    <row r="13" ht="62" customHeight="1">
      <c r="A13" s="6" t="inlineStr">
        <is>
          <t>R10</t>
        </is>
      </c>
      <c r="B13" s="21" t="inlineStr">
        <is>
          <t>On ne saute pas une date : on prend un sujet dans la Banque</t>
        </is>
      </c>
      <c r="C13" s="7" t="inlineStr">
        <is>
          <t>La régularité est le seul actif qui se capitalise. Un trou dans la cadence coûte plus qu'un post moyen. La cadence d'août est volontairement basse (2/sem.) pour être tenable pendant la phase de closing du 1er contrat.</t>
        </is>
      </c>
      <c r="D13" s="7" t="inlineStr">
        <is>
          <t>Stratégie personal branding §2 et §5</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showGridLines="0" workbookViewId="0">
      <selection activeCell="A1" sqref="A1"/>
    </sheetView>
  </sheetViews>
  <sheetFormatPr baseColWidth="8" defaultRowHeight="15"/>
  <cols>
    <col width="46" customWidth="1" min="1" max="1"/>
    <col width="14" customWidth="1" min="2" max="2"/>
    <col width="56" customWidth="1" min="3" max="3"/>
    <col width="14" customWidth="1" min="4" max="4"/>
  </cols>
  <sheetData>
    <row r="1">
      <c r="A1" s="20" t="inlineStr">
        <is>
          <t>KPI — revue mensuelle (20 min)</t>
        </is>
      </c>
    </row>
    <row r="2">
      <c r="A2" s="2" t="inlineStr">
        <is>
          <t>Se remplit tout seul à partir des colonnes Portée / Comm. / DM entrants de l'onglet Calendrier. Les 2 KPI business (lignes en jaune) se saisissent à la main.</t>
        </is>
      </c>
    </row>
    <row r="4">
      <c r="A4" s="4" t="inlineStr">
        <is>
          <t>Indicateur</t>
        </is>
      </c>
      <c r="B4" s="4" t="inlineStr">
        <is>
          <t>Valeur</t>
        </is>
      </c>
      <c r="C4" s="4" t="inlineStr">
        <is>
          <t>Lecture</t>
        </is>
      </c>
    </row>
    <row r="5" ht="30" customHeight="1">
      <c r="A5" s="22" t="inlineStr">
        <is>
          <t>Posts planifiés</t>
        </is>
      </c>
      <c r="B5" s="23">
        <f>COUNTA(Calendrier!A6:A18)</f>
        <v/>
      </c>
      <c r="C5" s="7" t="inlineStr">
        <is>
          <t>Total du calendrier v2 (rodage août + rentrée).</t>
        </is>
      </c>
    </row>
    <row r="6" ht="30" customHeight="1">
      <c r="A6" s="22" t="inlineStr">
        <is>
          <t>Posts publiés</t>
        </is>
      </c>
      <c r="B6" s="23">
        <f>COUNTIF(Calendrier!P6:P18,"Publié")</f>
        <v/>
      </c>
      <c r="C6" s="7" t="inlineStr">
        <is>
          <t>Le seul indicateur de discipline. Objectif : 100 % du planifié.</t>
        </is>
      </c>
    </row>
    <row r="7" ht="30" customHeight="1">
      <c r="A7" s="22" t="inlineStr">
        <is>
          <t>Taux de tenue de la cadence</t>
        </is>
      </c>
      <c r="B7" s="24">
        <f>IFERROR(COUNTIF(Calendrier!P6:P18,"Publié")/COUNTA(Calendrier!A6:A18),0)</f>
        <v/>
      </c>
      <c r="C7" s="7" t="inlineStr">
        <is>
          <t>Sous 80 %, baisser la cadence plutôt que subir les trous.</t>
        </is>
      </c>
    </row>
    <row r="8" ht="30" customHeight="1">
      <c r="A8" s="22" t="inlineStr">
        <is>
          <t>Portée cumulée</t>
        </is>
      </c>
      <c r="B8" s="23">
        <f>SUM(Calendrier!R6:R18)</f>
        <v/>
      </c>
      <c r="C8" s="7" t="inlineStr">
        <is>
          <t>Indicateur de contexte, pas d'objectif en soi.</t>
        </is>
      </c>
    </row>
    <row r="9" ht="30" customHeight="1">
      <c r="A9" s="22" t="inlineStr">
        <is>
          <t>Commentaires reçus (cumulés)</t>
        </is>
      </c>
      <c r="B9" s="23">
        <f>SUM(Calendrier!S6:S18)</f>
        <v/>
      </c>
      <c r="C9" s="7" t="inlineStr">
        <is>
          <t>Matière première des conversations : à relancer une par une.</t>
        </is>
      </c>
    </row>
    <row r="10" ht="30" customHeight="1">
      <c r="A10" s="22" t="inlineStr">
        <is>
          <t>DM entrants à intention commerciale</t>
        </is>
      </c>
      <c r="B10" s="23">
        <f>SUM(Calendrier!T6:T18)</f>
        <v/>
      </c>
      <c r="C10" s="7" t="inlineStr">
        <is>
          <t>LE KPI qui compte. Traction sérieuse attendue au 4e-6e mois.</t>
        </is>
      </c>
    </row>
    <row r="11" ht="30" customHeight="1">
      <c r="A11" s="22" t="inlineStr">
        <is>
          <t>Portée moyenne — Expertise BPO / Support N1</t>
        </is>
      </c>
      <c r="B11" s="23">
        <f>IFERROR(SUMIF(Calendrier!F6:F18,"Expertise BPO / Support N1",Calendrier!R6:R18)/COUNTIFS(Calendrier!F6:F18,"Expertise BPO / Support N1",Calendrier!P6:P18,"Publié"),0)</f>
        <v/>
      </c>
      <c r="C11" s="7" t="inlineStr">
        <is>
          <t>Compare les piliers à heure constante (08:00).</t>
        </is>
      </c>
    </row>
    <row r="12" ht="30" customHeight="1">
      <c r="A12" s="22" t="inlineStr">
        <is>
          <t>Portée moyenne — Preuves de méthode</t>
        </is>
      </c>
      <c r="B12" s="23">
        <f>IFERROR(SUMIF(Calendrier!F6:F18,"Preuves de méthode",Calendrier!R6:R18)/COUNTIFS(Calendrier!F6:F18,"Preuves de méthode",Calendrier!P6:P18,"Publié"),0)</f>
        <v/>
      </c>
      <c r="C12" s="7" t="inlineStr">
        <is>
          <t>Remplace « Preuves &amp; résultats clients » tant qu'il n'y a pas de client.</t>
        </is>
      </c>
    </row>
    <row r="13" ht="30" customHeight="1">
      <c r="A13" s="22" t="inlineStr">
        <is>
          <t>Portée moyenne — Coulisses de CEO</t>
        </is>
      </c>
      <c r="B13" s="23">
        <f>IFERROR(SUMIF(Calendrier!F6:F18,"Coulisses de CEO",Calendrier!R6:R18)/COUNTIFS(Calendrier!F6:F18,"Coulisses de CEO",Calendrier!P6:P18,"Publié"),0)</f>
        <v/>
      </c>
      <c r="C13" s="7" t="inlineStr">
        <is>
          <t>Sur-pondéré au lancement : c'est l'actif de crédibilité disponible.</t>
        </is>
      </c>
    </row>
    <row r="14" ht="30" customHeight="1">
      <c r="A14" s="22" t="inlineStr">
        <is>
          <t>Portée moyenne — Culture &amp; qualité d'équipe</t>
        </is>
      </c>
      <c r="B14" s="23">
        <f>IFERROR(SUMIF(Calendrier!F6:F18,"Culture &amp; qualité d'équipe",Calendrier!R6:R18)/COUNTIFS(Calendrier!F6:F18,"Culture &amp; qualité d'équipe",Calendrier!P6:P18,"Publié"),0)</f>
        <v/>
      </c>
      <c r="C14" s="7" t="inlineStr">
        <is>
          <t>Pilier de réassurance, volontairement minoritaire (15 %).</t>
        </is>
      </c>
    </row>
    <row r="15" ht="30" customHeight="1">
      <c r="A15" s="22" t="inlineStr">
        <is>
          <t>Demandes de démo / mises en relation (saisie manuelle)</t>
        </is>
      </c>
      <c r="B15" s="25" t="n"/>
      <c r="C15" s="7" t="inlineStr">
        <is>
          <t>À saisir à la main : LinkedIn ne le mesure pas.</t>
        </is>
      </c>
    </row>
    <row r="16" ht="30" customHeight="1">
      <c r="A16" s="22" t="inlineStr">
        <is>
          <t>Connexions qualifiées ICP ajoutées (saisie manuelle)</t>
        </is>
      </c>
      <c r="B16" s="25" t="n"/>
      <c r="C16" s="7" t="inlineStr">
        <is>
          <t>Décideurs éditeurs SaaS / ESN / télésec uniquement.</t>
        </is>
      </c>
    </row>
    <row r="18">
      <c r="A18" s="18" t="inlineStr">
        <is>
          <t>Répartition des piliers sur ce calendrier</t>
        </is>
      </c>
    </row>
    <row r="19">
      <c r="A19" s="5" t="inlineStr">
        <is>
          <t>Pilier</t>
        </is>
      </c>
      <c r="B19" s="5" t="inlineStr">
        <is>
          <t>Nb de posts</t>
        </is>
      </c>
      <c r="C19" s="5" t="inlineStr">
        <is>
          <t>Poids réel</t>
        </is>
      </c>
      <c r="D19" s="5" t="inlineStr">
        <is>
          <t>Poids cible</t>
        </is>
      </c>
    </row>
    <row r="20">
      <c r="A20" s="22" t="inlineStr">
        <is>
          <t>Expertise BPO / Support N1</t>
        </is>
      </c>
      <c r="B20" s="26">
        <f>COUNTIF(Calendrier!F6:F18,"Expertise BPO / Support N1")</f>
        <v/>
      </c>
      <c r="C20" s="27">
        <f>IFERROR(B20/COUNTA(Calendrier!A6:A18),0)</f>
        <v/>
      </c>
      <c r="D20" s="27" t="n">
        <v>0.35</v>
      </c>
    </row>
    <row r="21">
      <c r="A21" s="22" t="inlineStr">
        <is>
          <t>Preuves de méthode</t>
        </is>
      </c>
      <c r="B21" s="26">
        <f>COUNTIF(Calendrier!F6:F18,"Preuves de méthode")</f>
        <v/>
      </c>
      <c r="C21" s="27">
        <f>IFERROR(B21/COUNTA(Calendrier!A6:A18),0)</f>
        <v/>
      </c>
      <c r="D21" s="27" t="n">
        <v>0.25</v>
      </c>
    </row>
    <row r="22">
      <c r="A22" s="22" t="inlineStr">
        <is>
          <t>Coulisses de CEO</t>
        </is>
      </c>
      <c r="B22" s="26">
        <f>COUNTIF(Calendrier!F6:F18,"Coulisses de CEO")</f>
        <v/>
      </c>
      <c r="C22" s="27">
        <f>IFERROR(B22/COUNTA(Calendrier!A6:A18),0)</f>
        <v/>
      </c>
      <c r="D22" s="27" t="n">
        <v>0.25</v>
      </c>
    </row>
    <row r="23">
      <c r="A23" s="22" t="inlineStr">
        <is>
          <t>Culture &amp; qualité d'équipe</t>
        </is>
      </c>
      <c r="B23" s="26">
        <f>COUNTIF(Calendrier!F6:F18,"Culture &amp; qualité d'équipe")</f>
        <v/>
      </c>
      <c r="C23" s="27">
        <f>IFERROR(B23/COUNTA(Calendrier!A6:A18),0)</f>
        <v/>
      </c>
      <c r="D23" s="27" t="n">
        <v>0.15</v>
      </c>
    </row>
    <row r="25">
      <c r="A25" s="28" t="inlineStr">
        <is>
          <t>Écart assumé : au lancement, « Coulisses de CEO » dépasse sa cible et « Preuves » reste en dessous — sans client signé, la crédibilité du fondateur est la seule preuve disponible. Retour à 35/25/25/15 dès le 1er contrat marque blanche signé.</t>
        </is>
      </c>
    </row>
    <row r="26"/>
  </sheetData>
  <mergeCells count="3">
    <mergeCell ref="A1:D1"/>
    <mergeCell ref="A2:D2"/>
    <mergeCell ref="A25:D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2026-07-27T15:20:02Z</dcterms:created>
  <dcterms:modified xmlns:dcterms="http://purl.org/dc/terms/" xmlns:xsi="http://www.w3.org/2001/XMLSchema-instance" xsi:type="dcterms:W3CDTF">2026-07-27T15:20:02Z</dcterms:modified>
</cp:coreProperties>
</file>