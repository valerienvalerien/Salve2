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Hypothèses" sheetId="2" state="visible" r:id="rId2"/>
    <sheet name="Grille" sheetId="3" state="visible" r:id="rId3"/>
    <sheet name="Contrats" sheetId="4" state="visible" r:id="rId4"/>
    <sheet name="Flux" sheetId="5" state="visible" r:id="rId5"/>
    <sheet name="Contribution" sheetId="6" state="visible" r:id="rId6"/>
  </sheets>
  <definedNames/>
  <calcPr calcId="124519" fullCalcOnLoad="1"/>
</workbook>
</file>

<file path=xl/styles.xml><?xml version="1.0" encoding="utf-8"?>
<styleSheet xmlns="http://schemas.openxmlformats.org/spreadsheetml/2006/main">
  <numFmts count="5">
    <numFmt numFmtId="164" formatCode="#,##0 &quot;Ar&quot;;;-"/>
    <numFmt numFmtId="165" formatCode="0.0%"/>
    <numFmt numFmtId="166" formatCode="#,##0 &quot;€&quot;;(#,##0 &quot;€&quot;);-"/>
    <numFmt numFmtId="167" formatCode="#,##0.00 &quot;€&quot;;(#,##0.00 &quot;€&quot;);-"/>
    <numFmt numFmtId="168" formatCode="#,##0;(#,##0);-"/>
  </numFmts>
  <fonts count="17">
    <font>
      <name val="Calibri"/>
      <family val="2"/>
      <color theme="1"/>
      <sz val="11"/>
      <scheme val="minor"/>
    </font>
    <font>
      <name val="Arial"/>
      <b val="1"/>
      <color rgb="002E3B4E"/>
      <sz val="14"/>
    </font>
    <font>
      <name val="Arial"/>
      <i val="1"/>
      <color rgb="00777777"/>
      <sz val="9"/>
    </font>
    <font>
      <name val="Arial"/>
      <b val="1"/>
      <color rgb="00FFFFFF"/>
      <sz val="9"/>
    </font>
    <font>
      <name val="Arial"/>
      <b val="1"/>
      <color rgb="002E3B4E"/>
      <sz val="9"/>
    </font>
    <font>
      <name val="Arial"/>
      <color rgb="00000000"/>
      <sz val="10"/>
    </font>
    <font>
      <name val="Arial"/>
      <b val="1"/>
      <color rgb="000000FF"/>
      <sz val="10"/>
    </font>
    <font>
      <name val="Arial"/>
      <color rgb="00777777"/>
      <sz val="9"/>
    </font>
    <font>
      <name val="Arial"/>
      <b val="1"/>
      <color rgb="00B6604D"/>
      <sz val="10"/>
    </font>
    <font>
      <name val="Arial"/>
      <color rgb="00B6604D"/>
      <sz val="9"/>
    </font>
    <font>
      <name val="Arial"/>
      <b val="1"/>
      <color rgb="00000000"/>
      <sz val="10"/>
    </font>
    <font>
      <name val="Arial"/>
      <color rgb="00777777"/>
      <sz val="10"/>
    </font>
    <font>
      <name val="Arial"/>
      <i val="1"/>
      <color rgb="00777777"/>
      <sz val="10"/>
    </font>
    <font>
      <name val="Arial"/>
      <color rgb="000000FF"/>
      <sz val="10"/>
    </font>
    <font>
      <name val="Arial"/>
      <b val="1"/>
      <color rgb="002E3B4E"/>
      <sz val="10"/>
    </font>
    <font>
      <name val="Arial"/>
      <b val="1"/>
      <color rgb="002E3B4E"/>
      <sz val="11"/>
    </font>
    <font>
      <name val="Arial"/>
      <b val="1"/>
      <color rgb="002E3B4E"/>
      <sz val="12"/>
    </font>
  </fonts>
  <fills count="7">
    <fill>
      <patternFill/>
    </fill>
    <fill>
      <patternFill patternType="gray125"/>
    </fill>
    <fill>
      <patternFill patternType="solid">
        <fgColor rgb="002E3B4E"/>
      </patternFill>
    </fill>
    <fill>
      <patternFill patternType="solid">
        <fgColor rgb="00F6F2EA"/>
      </patternFill>
    </fill>
    <fill>
      <patternFill patternType="solid">
        <fgColor rgb="00FFFDE7"/>
      </patternFill>
    </fill>
    <fill>
      <patternFill patternType="solid">
        <fgColor rgb="00FAFAF7"/>
      </patternFill>
    </fill>
    <fill>
      <patternFill patternType="solid">
        <fgColor rgb="00EAF0EA"/>
      </patternFill>
    </fill>
  </fills>
  <borders count="4">
    <border>
      <left/>
      <right/>
      <top/>
      <bottom/>
      <diagonal/>
    </border>
    <border>
      <bottom style="thin">
        <color rgb="002E3B4E"/>
      </bottom>
    </border>
    <border>
      <left style="thick">
        <color rgb="00B89968"/>
      </left>
    </border>
    <border>
      <top style="thin">
        <color rgb="002E3B4E"/>
      </top>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10" fillId="0" borderId="0" pivotButton="0" quotePrefix="0" xfId="0"/>
    <xf numFmtId="166" fontId="15" fillId="0" borderId="0" applyAlignment="1" pivotButton="0" quotePrefix="0" xfId="0">
      <alignment horizontal="right"/>
    </xf>
    <xf numFmtId="0" fontId="7" fillId="0" borderId="0" applyAlignment="1" pivotButton="0" quotePrefix="0" xfId="0">
      <alignment vertical="top" wrapText="1"/>
    </xf>
    <xf numFmtId="0" fontId="5" fillId="0" borderId="0" pivotButton="0" quotePrefix="0" xfId="0"/>
    <xf numFmtId="168" fontId="15" fillId="0" borderId="0" applyAlignment="1" pivotButton="0" quotePrefix="0" xfId="0">
      <alignment horizontal="right"/>
    </xf>
    <xf numFmtId="167" fontId="15" fillId="0" borderId="0" applyAlignment="1" pivotButton="0" quotePrefix="0" xfId="0">
      <alignment horizontal="right"/>
    </xf>
    <xf numFmtId="0" fontId="4" fillId="3" borderId="2" pivotButton="0" quotePrefix="0" xfId="0"/>
    <xf numFmtId="0" fontId="0" fillId="3" borderId="0" pivotButton="0" quotePrefix="0" xfId="0"/>
    <xf numFmtId="0" fontId="2" fillId="0" borderId="0" applyAlignment="1" pivotButton="0" quotePrefix="0" xfId="0">
      <alignment vertical="top" wrapText="1"/>
    </xf>
    <xf numFmtId="164" fontId="6" fillId="4" borderId="0" applyAlignment="1" pivotButton="0" quotePrefix="0" xfId="0">
      <alignment horizontal="right"/>
    </xf>
    <xf numFmtId="0" fontId="7" fillId="0" borderId="0" pivotButton="0" quotePrefix="0" xfId="0"/>
    <xf numFmtId="3" fontId="6" fillId="4" borderId="0" applyAlignment="1" pivotButton="0" quotePrefix="0" xfId="0">
      <alignment horizontal="right"/>
    </xf>
    <xf numFmtId="165" fontId="6" fillId="4" borderId="0" applyAlignment="1" pivotButton="0" quotePrefix="0" xfId="0">
      <alignment horizontal="right"/>
    </xf>
    <xf numFmtId="164" fontId="5" fillId="0" borderId="0" applyAlignment="1" pivotButton="0" quotePrefix="0" xfId="0">
      <alignment horizontal="right"/>
    </xf>
    <xf numFmtId="166" fontId="6" fillId="4" borderId="0" applyAlignment="1" pivotButton="0" quotePrefix="0" xfId="0">
      <alignment horizontal="right"/>
    </xf>
    <xf numFmtId="167" fontId="5" fillId="0" borderId="0" applyAlignment="1" pivotButton="0" quotePrefix="0" xfId="0">
      <alignment horizontal="right"/>
    </xf>
    <xf numFmtId="168" fontId="6" fillId="4" borderId="0" applyAlignment="1" pivotButton="0" quotePrefix="0" xfId="0">
      <alignment horizontal="right"/>
    </xf>
    <xf numFmtId="166" fontId="8" fillId="0" borderId="0" applyAlignment="1" pivotButton="0" quotePrefix="0" xfId="0">
      <alignment horizontal="right"/>
    </xf>
    <xf numFmtId="0" fontId="9" fillId="0" borderId="0" applyAlignment="1" pivotButton="0" quotePrefix="0" xfId="0">
      <alignment vertical="top" wrapText="1"/>
    </xf>
    <xf numFmtId="167" fontId="10" fillId="0" borderId="0" applyAlignment="1" pivotButton="0" quotePrefix="0" xfId="0">
      <alignment horizontal="right"/>
    </xf>
    <xf numFmtId="0" fontId="11" fillId="0" borderId="0" pivotButton="0" quotePrefix="0" xfId="0"/>
    <xf numFmtId="166" fontId="12" fillId="0" borderId="0" applyAlignment="1" pivotButton="0" quotePrefix="0" xfId="0">
      <alignment horizontal="right"/>
    </xf>
    <xf numFmtId="0" fontId="13" fillId="0" borderId="0" pivotButton="0" quotePrefix="0" xfId="0"/>
    <xf numFmtId="0" fontId="6" fillId="0" borderId="0" applyAlignment="1" pivotButton="0" quotePrefix="0" xfId="0">
      <alignment horizontal="center"/>
    </xf>
    <xf numFmtId="166" fontId="10" fillId="0" borderId="0" applyAlignment="1" pivotButton="0" quotePrefix="0" xfId="0">
      <alignment horizontal="right"/>
    </xf>
    <xf numFmtId="166" fontId="5" fillId="0" borderId="0" applyAlignment="1" pivotButton="0" quotePrefix="0" xfId="0">
      <alignment horizontal="right"/>
    </xf>
    <xf numFmtId="168" fontId="14" fillId="0" borderId="0" applyAlignment="1" pivotButton="0" quotePrefix="0" xfId="0">
      <alignment horizontal="right"/>
    </xf>
    <xf numFmtId="168" fontId="5" fillId="0" borderId="0" applyAlignment="1" pivotButton="0" quotePrefix="0" xfId="0">
      <alignment horizontal="right"/>
    </xf>
    <xf numFmtId="168" fontId="14" fillId="5" borderId="0" applyAlignment="1" pivotButton="0" quotePrefix="0" xfId="0">
      <alignment horizontal="right"/>
    </xf>
    <xf numFmtId="168" fontId="5" fillId="5" borderId="0" applyAlignment="1" pivotButton="0" quotePrefix="0" xfId="0">
      <alignment horizontal="right"/>
    </xf>
    <xf numFmtId="166" fontId="5" fillId="5" borderId="0" applyAlignment="1" pivotButton="0" quotePrefix="0" xfId="0">
      <alignment horizontal="right"/>
    </xf>
    <xf numFmtId="166" fontId="10" fillId="5" borderId="0" applyAlignment="1" pivotButton="0" quotePrefix="0" xfId="0">
      <alignment horizontal="right"/>
    </xf>
    <xf numFmtId="0" fontId="5" fillId="0" borderId="0" applyAlignment="1" pivotButton="0" quotePrefix="0" xfId="0">
      <alignment horizontal="left"/>
    </xf>
    <xf numFmtId="0" fontId="10" fillId="0" borderId="3" pivotButton="0" quotePrefix="0" xfId="0"/>
    <xf numFmtId="168" fontId="10" fillId="0" borderId="0" applyAlignment="1" pivotButton="0" quotePrefix="0" xfId="0">
      <alignment horizontal="right"/>
    </xf>
    <xf numFmtId="0" fontId="15" fillId="6" borderId="0" pivotButton="0" quotePrefix="0" xfId="0"/>
    <xf numFmtId="166" fontId="1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48590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tabColor rgb="002E3B4E"/>
    <outlinePr summaryBelow="1" summaryRight="1"/>
    <pageSetUpPr/>
  </sheetPr>
  <dimension ref="A1:E23"/>
  <sheetViews>
    <sheetView showGridLines="0" workbookViewId="0">
      <pane ySplit="5" topLeftCell="A6" activePane="bottomLeft" state="frozen"/>
      <selection pane="bottomLeft" activeCell="A1" sqref="A1"/>
    </sheetView>
  </sheetViews>
  <sheetFormatPr baseColWidth="8" defaultRowHeight="15"/>
  <cols>
    <col width="38" customWidth="1" min="1" max="1"/>
    <col width="18" customWidth="1" min="2" max="2"/>
    <col width="78" customWidth="1" min="3" max="3"/>
  </cols>
  <sheetData>
    <row r="1" ht="34" customHeight="1">
      <c r="C1" s="1" t="inlineStr">
        <is>
          <t>Projection de finances Salverys</t>
        </is>
      </c>
    </row>
    <row r="2" ht="14" customHeight="1">
      <c r="C2" s="2" t="inlineStr">
        <is>
          <t>Prévision, pas situation bancaire. Chaque cellule calculée est une formule vivante.</t>
        </is>
      </c>
    </row>
    <row r="5" ht="28" customHeight="1">
      <c r="A5" s="3" t="inlineStr">
        <is>
          <t>Indicateur</t>
        </is>
      </c>
      <c r="B5" s="3" t="inlineStr">
        <is>
          <t>Valeur</t>
        </is>
      </c>
      <c r="C5" s="3" t="inlineStr">
        <is>
          <t>Lecture</t>
        </is>
      </c>
    </row>
    <row r="6" ht="24" customHeight="1">
      <c r="A6" s="4" t="inlineStr">
        <is>
          <t>Creux de trésorerie</t>
        </is>
      </c>
      <c r="B6" s="5">
        <f>MIN(Flux!L6:L29)</f>
        <v>-16948</v>
      </c>
      <c r="C6" s="6" t="inlineStr">
        <is>
          <t>Le plus bas du cash sur l'horizon. C'est le montant à financer si la trésorerie de départ est nulle.</t>
        </is>
      </c>
    </row>
    <row r="7" ht="24" customHeight="1">
      <c r="A7" s="7" t="inlineStr">
        <is>
          <t>Mois du creux</t>
        </is>
      </c>
      <c r="B7" s="8">
        <f>INDEX(Flux!A6:A29,MATCH(MIN(Flux!L6:L29),Flux!L6:L29,0))</f>
        <v>6</v>
      </c>
      <c r="C7" s="6" t="inlineStr">
        <is>
          <t>Quand il tombe.</t>
        </is>
      </c>
    </row>
    <row r="8" ht="24" customHeight="1">
      <c r="A8" s="7" t="inlineStr">
        <is>
          <t>Besoin illustratif, creux + 30 %</t>
        </is>
      </c>
      <c r="B8" s="5">
        <f>MAX(0,-MIN(Flux!L6:L29))*1.3</f>
        <v>22032.4</v>
      </c>
      <c r="C8" s="6" t="inlineStr">
        <is>
          <t>Coussin arbitraire de 30 %. Hors dettes et coûts non renseignés. PAS une recommandation de capital.</t>
        </is>
      </c>
    </row>
    <row r="9" ht="24" customHeight="1">
      <c r="A9" s="7" t="inlineStr">
        <is>
          <t>Trésorerie à M24</t>
        </is>
      </c>
      <c r="B9" s="5">
        <f>Flux!L29</f>
        <v>50768</v>
      </c>
      <c r="C9" s="6" t="inlineStr">
        <is>
          <t>Fin de l'horizon, si aucun nouveau contrat n'est signé après ceux de l'onglet Contrats.</t>
        </is>
      </c>
    </row>
    <row r="10" ht="24" customHeight="1">
      <c r="A10" s="7" t="inlineStr">
        <is>
          <t>Résultat mensuel à régime plein</t>
        </is>
      </c>
      <c r="B10" s="5">
        <f>Contribution!E20</f>
        <v>3762</v>
      </c>
      <c r="C10" s="6" t="inlineStr">
        <is>
          <t>Tous contrats actifs, structure et réserves comprises, hors onboarding, équipement, impayés et taxes.</t>
        </is>
      </c>
    </row>
    <row r="11" ht="24" customHeight="1">
      <c r="A11" s="7" t="inlineStr">
        <is>
          <t>Agents à régime plein</t>
        </is>
      </c>
      <c r="B11" s="8">
        <f>Flux!B29</f>
        <v>5</v>
      </c>
      <c r="C11" s="6" t="inlineStr"/>
    </row>
    <row r="12" ht="24" customHeight="1">
      <c r="A12" s="7" t="inlineStr">
        <is>
          <t>Managers à régime plein</t>
        </is>
      </c>
      <c r="B12" s="8">
        <f>Flux!C29</f>
        <v>0</v>
      </c>
      <c r="C12" s="6" t="inlineStr">
        <is>
          <t>Un par tranche de 8 positions, dans chaque métier. La supervision n'est pas mutualisée entre métiers.</t>
        </is>
      </c>
    </row>
    <row r="13" ht="24" customHeight="1">
      <c r="A13" s="7" t="inlineStr">
        <is>
          <t>Coût d'une position</t>
        </is>
      </c>
      <c r="B13" s="9">
        <f>Hypothèses!B14</f>
        <v>730</v>
      </c>
      <c r="C13" s="6" t="inlineStr">
        <is>
          <t>Coût complet agent tout compris + VoIP (arbitrage A7, à valider par la paie).</t>
        </is>
      </c>
    </row>
    <row r="14" ht="24" customHeight="1">
      <c r="A14" s="7" t="inlineStr">
        <is>
          <t>Prix minimal viable par position</t>
        </is>
      </c>
      <c r="B14" s="9">
        <f>Grille!B13</f>
        <v>856.9639175257732</v>
      </c>
      <c r="C14" s="6" t="inlineStr">
        <is>
          <t>En dessous, aucun volume ne rattrape le prix. Structure du lancement non comprise.</t>
        </is>
      </c>
    </row>
    <row r="16">
      <c r="A16" s="10" t="inlineStr">
        <is>
          <t>CE QUE CE CLASSEUR NE CONTIENT PAS</t>
        </is>
      </c>
      <c r="B16" s="11" t="n"/>
      <c r="C16" s="11" t="n"/>
      <c r="D16" s="11" t="n"/>
      <c r="E16" s="11" t="n"/>
    </row>
    <row r="17" ht="30" customHeight="1">
      <c r="A17" s="12" t="inlineStr">
        <is>
          <t>Impôts et TVA, assurance, amortissements comptables, recrutement au-delà du forfait d'onboarding, indemnités de rupture, dettes et créances existantes, dates réelles des factures annuelles. Le modèle A mutualisé (1 120 € / 400 tickets) et le télésecrétariat médical facturé à l'appel ne sont pas projetés : leur staffing n'est pas mesuré.</t>
        </is>
      </c>
    </row>
    <row r="19">
      <c r="A19" s="10" t="inlineStr">
        <is>
          <t>COMMENT S'EN SERVIR</t>
        </is>
      </c>
      <c r="B19" s="11" t="n"/>
      <c r="C19" s="11" t="n"/>
      <c r="D19" s="11" t="n"/>
      <c r="E19" s="11" t="n"/>
    </row>
    <row r="20" ht="30" customHeight="1">
      <c r="A20" s="12" t="inlineStr">
        <is>
          <t>Onglet Hypothèses : les cellules bleues pilotent tout le classeur. Onglet Contrats : une ligne par contrat, huit au maximum. Les onglets Flux, Contribution et Synthèse sont entièrement calculés — n'y écrivez pas. Ce classeur est généré par tools/export-xlsx.py depuis tools/finance-model.mjs : le régénérer écrase vos saisies, alors travaillez sur une copie.</t>
        </is>
      </c>
    </row>
    <row r="22">
      <c r="A22" s="10" t="inlineStr">
        <is>
          <t>OÙ EST LA VÉRITÉ</t>
        </is>
      </c>
      <c r="B22" s="11" t="n"/>
      <c r="C22" s="11" t="n"/>
      <c r="D22" s="11" t="n"/>
      <c r="E22" s="11" t="n"/>
    </row>
    <row r="23" ht="30" customHeight="1">
      <c r="A23" s="12" t="inlineStr">
        <is>
          <t>PRICING.md fait foi sur les prix. AUDIT-CHIFFRES-2026-09-18.md dit, pour chaque chiffre du dépôt, s'il est vérifié, hypothétique, estimé ou faux aujourd'hui. projection-finances-salverys.html est la version interactive de ce classeur ; grille-negociation-salverys.html dit à quel prix signer. Les trois partagent le moteur tools/finance-model.mjs.</t>
        </is>
      </c>
    </row>
  </sheetData>
  <mergeCells count="3">
    <mergeCell ref="A17:C17"/>
    <mergeCell ref="A23:C23"/>
    <mergeCell ref="A20:C2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2E3B4E"/>
    <outlinePr summaryBelow="1" summaryRight="1"/>
    <pageSetUpPr/>
  </sheetPr>
  <dimension ref="A1:E45"/>
  <sheetViews>
    <sheetView showGridLines="0" workbookViewId="0">
      <pane ySplit="4" topLeftCell="A5" activePane="bottomLeft" state="frozen"/>
      <selection pane="bottomLeft" activeCell="A1" sqref="A1"/>
    </sheetView>
  </sheetViews>
  <sheetFormatPr baseColWidth="8" defaultRowHeight="15"/>
  <cols>
    <col width="42" customWidth="1" min="1" max="1"/>
    <col width="14" customWidth="1" min="2" max="2"/>
    <col width="14" customWidth="1" min="3" max="3"/>
    <col width="74" customWidth="1" min="4" max="4"/>
  </cols>
  <sheetData>
    <row r="1" ht="34" customHeight="1">
      <c r="C1" s="1" t="inlineStr">
        <is>
          <t>Hypothèses</t>
        </is>
      </c>
    </row>
    <row r="2" ht="14" customHeight="1">
      <c r="C2" s="2" t="inlineStr">
        <is>
          <t>Cellules bleues : à modifier. Tout le classeur en dépend. Noir : calculé.</t>
        </is>
      </c>
    </row>
    <row r="4" ht="28" customHeight="1">
      <c r="A4" s="3" t="inlineStr">
        <is>
          <t>Paramètre</t>
        </is>
      </c>
      <c r="B4" s="3" t="inlineStr">
        <is>
          <t>Valeur</t>
        </is>
      </c>
      <c r="C4" s="3" t="inlineStr">
        <is>
          <t>Unité</t>
        </is>
      </c>
      <c r="D4" s="3" t="inlineStr">
        <is>
          <t>Statut et source</t>
        </is>
      </c>
    </row>
    <row r="5">
      <c r="A5" s="10" t="inlineStr">
        <is>
          <t>PERSONNEL</t>
        </is>
      </c>
      <c r="B5" s="11" t="n"/>
      <c r="C5" s="11" t="n"/>
      <c r="D5" s="11" t="n"/>
      <c r="E5" s="11" t="n"/>
    </row>
    <row r="6">
      <c r="A6" s="7" t="inlineStr">
        <is>
          <t>Brut mensuel manager (et agent si B39 = 0)</t>
        </is>
      </c>
      <c r="B6" s="13" t="n">
        <v>3250000</v>
      </c>
      <c r="C6" s="14" t="inlineStr">
        <is>
          <t>Ar</t>
        </is>
      </c>
      <c r="D6" s="6" t="inlineStr">
        <is>
          <t>Décision direction 2026-08-14. À confirmer sur bulletins de paie. Depuis le 2026-09-24, l'agent se chiffre au coût complet de la ligne 39.</t>
        </is>
      </c>
    </row>
    <row r="7">
      <c r="A7" s="7" t="inlineStr">
        <is>
          <t>Taux de change</t>
        </is>
      </c>
      <c r="B7" s="15" t="n">
        <v>5000</v>
      </c>
      <c r="C7" s="14" t="inlineStr">
        <is>
          <t>Ar / €</t>
        </is>
      </c>
      <c r="D7" s="6" t="inlineStr">
        <is>
          <t>Convention de simulation. Remplacer par le taux de paiement réel et ses frais.</t>
        </is>
      </c>
    </row>
    <row r="8">
      <c r="A8" s="7" t="inlineStr">
        <is>
          <t>Cotisations employeur</t>
        </is>
      </c>
      <c r="B8" s="16" t="n">
        <v>0.18</v>
      </c>
      <c r="C8" s="14" t="inlineStr">
        <is>
          <t>% du brut</t>
        </is>
      </c>
      <c r="D8" s="6" t="inlineStr">
        <is>
          <t>HYPOTHÈSE RÉGLEMENTAIRE NON VÉRIFIÉE. À confirmer auprès du gestionnaire de paie.</t>
        </is>
      </c>
    </row>
    <row r="9">
      <c r="A9" s="7" t="inlineStr">
        <is>
          <t>SME retenu</t>
        </is>
      </c>
      <c r="B9" s="13" t="n">
        <v>300000</v>
      </c>
      <c r="C9" s="14" t="inlineStr">
        <is>
          <t>Ar</t>
        </is>
      </c>
      <c r="D9" s="6" t="inlineStr">
        <is>
          <t>lexpress.mg, février 2026. Sert au plafond de cotisation.</t>
        </is>
      </c>
    </row>
    <row r="10">
      <c r="A10" s="7" t="inlineStr">
        <is>
          <t>Plafond de cotisation (8 × SME)</t>
        </is>
      </c>
      <c r="B10" s="17">
        <f>B9*8</f>
        <v>2400000</v>
      </c>
      <c r="C10" s="14" t="inlineStr">
        <is>
          <t>Ar</t>
        </is>
      </c>
      <c r="D10" s="6" t="inlineStr">
        <is>
          <t>Calculé.</t>
        </is>
      </c>
    </row>
    <row r="11">
      <c r="A11" s="7" t="inlineStr">
        <is>
          <t>VoIP par agent</t>
        </is>
      </c>
      <c r="B11" s="18" t="n">
        <v>30</v>
      </c>
      <c r="C11" s="14" t="inlineStr">
        <is>
          <t>€ / mois</t>
        </is>
      </c>
      <c r="D11" s="6" t="inlineStr">
        <is>
          <t>Devis ou facture à obtenir.</t>
        </is>
      </c>
    </row>
    <row r="12">
      <c r="A12" s="7" t="inlineStr">
        <is>
          <t>VoIP par manager</t>
        </is>
      </c>
      <c r="B12" s="18" t="n">
        <v>0</v>
      </c>
      <c r="C12" s="14" t="inlineStr">
        <is>
          <t>€ / mois</t>
        </is>
      </c>
      <c r="D12" s="6" t="inlineStr">
        <is>
          <t>Hypothèse : le manager n'a pas de ligne facturée. À corriger s'il décroche.</t>
        </is>
      </c>
    </row>
    <row r="13">
      <c r="A13" s="7" t="inlineStr">
        <is>
          <t>Coussin sur personnel</t>
        </is>
      </c>
      <c r="B13" s="16" t="n">
        <v>0.1</v>
      </c>
      <c r="C13" s="14" t="inlineStr">
        <is>
          <t>%</t>
        </is>
      </c>
      <c r="D13" s="6" t="inlineStr">
        <is>
          <t>Réserve prudente, retirée du cash. Ce n'est pas une paie versée.</t>
        </is>
      </c>
    </row>
    <row r="14">
      <c r="A14" s="7" t="inlineStr">
        <is>
          <t>Coût d'un agent</t>
        </is>
      </c>
      <c r="B14" s="19">
        <f>IF(B39&gt;0,B39/B7+B11,((B6+MIN(B6,B10)*B8)/B7+B11)*(1+B13))</f>
        <v>730</v>
      </c>
      <c r="C14" s="14" t="inlineStr">
        <is>
          <t>€ / mois</t>
        </is>
      </c>
      <c r="D14" s="6" t="inlineStr">
        <is>
          <t>Calculé : coût complet (ligne 39) ÷ change + VoIP, sans coussin. Si la ligne 39 vaut 0 : (brut + cotisations plafonnées) ÷ change, plus VoIP, plus coussin.</t>
        </is>
      </c>
    </row>
    <row r="15">
      <c r="A15" s="7" t="inlineStr">
        <is>
          <t>Coût d'un manager</t>
        </is>
      </c>
      <c r="B15" s="19">
        <f>((B6+MIN(B6,B10)*B8)/B7+B12)*(1+B13)</f>
        <v>810.0400000000001</v>
      </c>
      <c r="C15" s="14" t="inlineStr">
        <is>
          <t>€ / mois</t>
        </is>
      </c>
      <c r="D15" s="6" t="inlineStr">
        <is>
          <t>Calculé, même formule sans la VoIP agent.</t>
        </is>
      </c>
    </row>
    <row r="16">
      <c r="A16" s="7" t="inlineStr">
        <is>
          <t>Positions par manager</t>
        </is>
      </c>
      <c r="B16" s="20" t="n">
        <v>8</v>
      </c>
      <c r="C16" s="14" t="inlineStr">
        <is>
          <t>positions</t>
        </is>
      </c>
      <c r="D16" s="6" t="inlineStr">
        <is>
          <t>Un manager de plus par tranche, DANS CHAQUE MÉTIER.</t>
        </is>
      </c>
    </row>
    <row r="17">
      <c r="A17" s="7" t="inlineStr">
        <is>
          <t>Positions encadrées par le fondateur</t>
        </is>
      </c>
      <c r="B17" s="20" t="n">
        <v>5</v>
      </c>
      <c r="C17" s="14" t="inlineStr">
        <is>
          <t>positions</t>
        </is>
      </c>
      <c r="D17" s="6" t="inlineStr">
        <is>
          <t>Arbitrage A10 du 2026-09-24 : le fondateur encadre le lancement à 5 positions. Un manager s'ajoute à la 6e ; le forfait d'encadrement de la ligne 40 est alors à recalculer.</t>
        </is>
      </c>
    </row>
    <row r="18">
      <c r="A18" s="10" t="inlineStr">
        <is>
          <t>STRUCTURE ET DÉMARRAGE</t>
        </is>
      </c>
      <c r="B18" s="11" t="n"/>
      <c r="C18" s="11" t="n"/>
      <c r="D18" s="11" t="n"/>
      <c r="E18" s="11" t="n"/>
    </row>
    <row r="19">
      <c r="A19" s="7" t="inlineStr">
        <is>
          <t>Outils récurrents connus</t>
        </is>
      </c>
      <c r="B19" s="18" t="n">
        <v>68</v>
      </c>
      <c r="C19" s="14" t="inlineStr">
        <is>
          <t>€ / mois</t>
        </is>
      </c>
      <c r="D19" s="6" t="inlineStr">
        <is>
          <t>REGISTRE-COUTS-OUTILS.md : 65 € d'abonnements + 36 €/an de domaines. Montants DÉCLARÉS, non rapprochés de factures.</t>
        </is>
      </c>
    </row>
    <row r="20">
      <c r="A20" s="7" t="inlineStr">
        <is>
          <t>Charges mensuelles supplémentaires</t>
        </is>
      </c>
      <c r="B20" s="18" t="n">
        <v>0</v>
      </c>
      <c r="C20" s="14" t="inlineStr">
        <is>
          <t>€ / mois</t>
        </is>
      </c>
      <c r="D20" s="6" t="inlineStr">
        <is>
          <t>À REMPLIR : taxes, comptabilité, assurance, frais bancaires, équipement, congés. Laisser 0 est une décision.</t>
        </is>
      </c>
    </row>
    <row r="21">
      <c r="A21" s="7" t="inlineStr">
        <is>
          <t>Onboarding — socle par contrat</t>
        </is>
      </c>
      <c r="B21" s="18" t="n">
        <v>400</v>
      </c>
      <c r="C21" s="14" t="inlineStr">
        <is>
          <t>€</t>
        </is>
      </c>
      <c r="D21" s="6" t="inlineStr">
        <is>
          <t>AUDIT-ESPACE-CLIENT.md §9.2. Ordre de grandeur non documenté sur temps passé.</t>
        </is>
      </c>
    </row>
    <row r="22">
      <c r="A22" s="7" t="inlineStr">
        <is>
          <t>Onboarding — par position</t>
        </is>
      </c>
      <c r="B22" s="18" t="n">
        <v>400</v>
      </c>
      <c r="C22" s="14" t="inlineStr">
        <is>
          <t>€</t>
        </is>
      </c>
      <c r="D22" s="6" t="inlineStr">
        <is>
          <t>Idem. Le forfait de 1 600 €/contrat utilisé jusqu'au 2026-09-16 ne valait que pour 3 positions.</t>
        </is>
      </c>
    </row>
    <row r="23">
      <c r="A23" s="7" t="inlineStr">
        <is>
          <t>Embauche après signature</t>
        </is>
      </c>
      <c r="B23" s="20" t="n">
        <v>1</v>
      </c>
      <c r="C23" s="14" t="inlineStr">
        <is>
          <t>mois</t>
        </is>
      </c>
      <c r="D23" s="6" t="inlineStr">
        <is>
          <t>C'est ce délai qui crée le creux : la paie part avant la première facture.</t>
        </is>
      </c>
    </row>
    <row r="24">
      <c r="A24" s="7" t="inlineStr">
        <is>
          <t>Première facture après signature</t>
        </is>
      </c>
      <c r="B24" s="20" t="n">
        <v>2</v>
      </c>
      <c r="C24" s="14" t="inlineStr">
        <is>
          <t>mois</t>
        </is>
      </c>
      <c r="D24" s="6" t="inlineStr">
        <is>
          <t>Hypothèse. Le devis date le début de facturation, et c'est lui qui fait foi.</t>
        </is>
      </c>
    </row>
    <row r="25">
      <c r="A25" s="10" t="inlineStr">
        <is>
          <t>ENCAISSEMENT ET RISQUE</t>
        </is>
      </c>
      <c r="B25" s="11" t="n"/>
      <c r="C25" s="11" t="n"/>
      <c r="D25" s="11" t="n"/>
      <c r="E25" s="11" t="n"/>
    </row>
    <row r="26">
      <c r="A26" s="7" t="inlineStr">
        <is>
          <t>Règlement après facture</t>
        </is>
      </c>
      <c r="B26" s="20" t="n">
        <v>1</v>
      </c>
      <c r="C26" s="14" t="inlineStr">
        <is>
          <t>mois</t>
        </is>
      </c>
      <c r="D26" s="6" t="inlineStr">
        <is>
          <t>PRICING.md §3 : paiement à 30 jours. Paramètre le plus sensible du modèle.</t>
        </is>
      </c>
    </row>
    <row r="27">
      <c r="A27" s="7" t="inlineStr">
        <is>
          <t>Dépôt par position</t>
        </is>
      </c>
      <c r="B27" s="18" t="n">
        <v>0</v>
      </c>
      <c r="C27" s="14" t="inlineStr">
        <is>
          <t>€</t>
        </is>
      </c>
      <c r="D27" s="6" t="inlineStr">
        <is>
          <t>SUPPRIMÉ de la grille le 2026-09-24 (arbitrage A1), remplacé par les frais de mise en service. Gardé pour simuler l'ancien dépôt rendu par crédit de facture.</t>
        </is>
      </c>
    </row>
    <row r="28">
      <c r="A28" s="7" t="inlineStr">
        <is>
          <t>Crédit de dépôt par facture</t>
        </is>
      </c>
      <c r="B28" s="18" t="n">
        <v>0</v>
      </c>
      <c r="C28" s="14" t="inlineStr">
        <is>
          <t>€</t>
        </is>
      </c>
      <c r="D28" s="6" t="inlineStr">
        <is>
          <t>Ancien mécanisme, à 0.</t>
        </is>
      </c>
    </row>
    <row r="29">
      <c r="A29" s="7" t="inlineStr">
        <is>
          <t>Factures créditées</t>
        </is>
      </c>
      <c r="B29" s="20" t="n">
        <v>3</v>
      </c>
      <c r="C29" s="14" t="inlineStr">
        <is>
          <t>nb</t>
        </is>
      </c>
      <c r="D29" s="6" t="inlineStr">
        <is>
          <t>Ancien mécanisme.</t>
        </is>
      </c>
    </row>
    <row r="30">
      <c r="A30" s="7" t="inlineStr">
        <is>
          <t>Résidu de dépôt NON rendu</t>
        </is>
      </c>
      <c r="B30" s="21">
        <f>B27-B28*B29</f>
        <v>0</v>
      </c>
      <c r="C30" s="14" t="inlineStr">
        <is>
          <t>€ / position</t>
        </is>
      </c>
      <c r="D30" s="6" t="inlineStr">
        <is>
          <t>Doit valoir 0. Positif = frais d'activation déguisé, à nommer. Négatif = argent jamais encaissé, offert.</t>
        </is>
      </c>
    </row>
    <row r="31">
      <c r="A31" s="7" t="inlineStr">
        <is>
          <t>Frais de mise en service par contrat</t>
        </is>
      </c>
      <c r="B31" s="18" t="n">
        <v>0</v>
      </c>
      <c r="C31" s="14" t="inlineStr">
        <is>
          <t>€</t>
        </is>
      </c>
      <c r="D31" s="6" t="inlineStr">
        <is>
          <t>Part fixe éventuelle. PRICING.md §3 n'en prévoit pas.</t>
        </is>
      </c>
    </row>
    <row r="32">
      <c r="A32" s="7" t="inlineStr">
        <is>
          <t>Frais de mise en service par position</t>
        </is>
      </c>
      <c r="B32" s="18" t="n">
        <v>490</v>
      </c>
      <c r="C32" s="14" t="inlineStr">
        <is>
          <t>€</t>
        </is>
      </c>
      <c r="D32" s="6" t="inlineStr">
        <is>
          <t>PRICING.md §3, arbitrage A1 du 2026-09-24 : 490 €/position à la signature, acquis, non imputés sur les mensualités.</t>
        </is>
      </c>
    </row>
    <row r="33">
      <c r="A33" s="7" t="inlineStr">
        <is>
          <t>Impayés sur CA encaissé</t>
        </is>
      </c>
      <c r="B33" s="16" t="n">
        <v>0</v>
      </c>
      <c r="C33" s="14" t="inlineStr">
        <is>
          <t>%</t>
        </is>
      </c>
      <c r="D33" s="6" t="inlineStr">
        <is>
          <t>0 % n'est pas une mesure, c'est une absence d'historique.</t>
        </is>
      </c>
    </row>
    <row r="34">
      <c r="A34" s="7" t="inlineStr">
        <is>
          <t>Banque, change et taxes sur CA encaissé</t>
        </is>
      </c>
      <c r="B34" s="16" t="n">
        <v>0.01</v>
      </c>
      <c r="C34" s="14" t="inlineStr">
        <is>
          <t>%</t>
        </is>
      </c>
      <c r="D34" s="6" t="inlineStr">
        <is>
          <t>Arbitrage A9 : 1 % de frais bancaires et risque de change. Taxes non comprises : taux non vérifiés.</t>
        </is>
      </c>
    </row>
    <row r="35">
      <c r="A35" s="10" t="inlineStr">
        <is>
          <t>DÉPART</t>
        </is>
      </c>
      <c r="B35" s="11" t="n"/>
      <c r="C35" s="11" t="n"/>
      <c r="D35" s="11" t="n"/>
      <c r="E35" s="11" t="n"/>
    </row>
    <row r="36">
      <c r="A36" s="7" t="inlineStr">
        <is>
          <t>Trésorerie de départ</t>
        </is>
      </c>
      <c r="B36" s="18" t="n">
        <v>0</v>
      </c>
      <c r="C36" s="14" t="inlineStr">
        <is>
          <t>€</t>
        </is>
      </c>
      <c r="D36" s="6" t="inlineStr">
        <is>
          <t>0 mesure un BESOIN THÉORIQUE. Ce n'est pas le solde réel de Salverys.</t>
        </is>
      </c>
    </row>
    <row r="38">
      <c r="A38" s="10" t="inlineStr">
        <is>
          <t>ARBITRAGES DU 2026-09-24 (BMC v1.3)</t>
        </is>
      </c>
      <c r="B38" s="11" t="n"/>
      <c r="C38" s="11" t="n"/>
      <c r="D38" s="11" t="n"/>
      <c r="E38" s="11" t="n"/>
    </row>
    <row r="39">
      <c r="A39" s="7" t="inlineStr">
        <is>
          <t>Coût complet agent, tout compris</t>
        </is>
      </c>
      <c r="B39" s="13" t="n">
        <v>3500000</v>
      </c>
      <c r="C39" s="14" t="inlineStr">
        <is>
          <t>Ar / mois</t>
        </is>
      </c>
      <c r="D39" s="6" t="inlineStr">
        <is>
          <t>Arbitrage A7 : rémunération, charges, congés, absences, formation et remplacement. À VALIDER PAR LA PAIE : le brut de la ligne 6 chargé n'y tient pas. 0 = calcul par le brut.</t>
        </is>
      </c>
    </row>
    <row r="40">
      <c r="A40" s="7" t="inlineStr">
        <is>
          <t>Structure dès la 1re embauche</t>
        </is>
      </c>
      <c r="B40" s="18" t="n">
        <v>2220</v>
      </c>
      <c r="C40" s="14" t="inlineStr">
        <is>
          <t>€ / mois</t>
        </is>
      </c>
      <c r="D40" s="6" t="inlineStr">
        <is>
          <t>Arbitrage A8, hypothèse pessimiste : encadrement / QA 600 + loyer 60 m² 720 + double fibre 300 + RH / paie / comptable 300 + énergie 300. Payée tant qu'un agent est en poste.</t>
        </is>
      </c>
    </row>
    <row r="41">
      <c r="A41" s="7" t="inlineStr">
        <is>
          <t>Poste de travail par position</t>
        </is>
      </c>
      <c r="B41" s="18" t="n">
        <v>800</v>
      </c>
      <c r="C41" s="14" t="inlineStr">
        <is>
          <t>€</t>
        </is>
      </c>
      <c r="D41" s="6" t="inlineStr">
        <is>
          <t>Laptop + écran, 4 M Ar, décaissés à la signature.</t>
        </is>
      </c>
    </row>
    <row r="42">
      <c r="A42" s="7" t="inlineStr">
        <is>
          <t>Groupe électrogène + UPS</t>
        </is>
      </c>
      <c r="B42" s="18" t="n">
        <v>450</v>
      </c>
      <c r="C42" s="14" t="inlineStr">
        <is>
          <t>€</t>
        </is>
      </c>
      <c r="D42" s="6" t="inlineStr">
        <is>
          <t>2,25 M Ar, décaissés une fois, au premier mois avec du personnel. À tester avant d'être promis.</t>
        </is>
      </c>
    </row>
    <row r="43">
      <c r="A43" s="7" t="inlineStr">
        <is>
          <t>Provision avoirs SLA sur CA encaissé</t>
        </is>
      </c>
      <c r="B43" s="16" t="n">
        <v>0.02</v>
      </c>
      <c r="C43" s="14" t="inlineStr">
        <is>
          <t>%</t>
        </is>
      </c>
      <c r="D43" s="6" t="inlineStr">
        <is>
          <t>Arbitrage A9 : avoir de 20 % au plus un mois sur douze = 1,7 % du CA ; provision de 2 %.</t>
        </is>
      </c>
    </row>
    <row r="45" ht="30" customHeight="1">
      <c r="A45" s="12" t="inlineStr">
        <is>
          <t>Aucun chiffre de ce classeur ne représente une dépense constatée tant que les factures, la paie et le solde bancaire n'ont pas été rapprochés. Trois hypothèses pèsent sur tout le reste : le taux de cotisation, le plafond et le taux de change. Elles fixent le coût d'une position, donc toute marge annoncée.</t>
        </is>
      </c>
    </row>
  </sheetData>
  <mergeCells count="1">
    <mergeCell ref="A45:D4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2E3B4E"/>
    <outlinePr summaryBelow="1" summaryRight="1"/>
    <pageSetUpPr/>
  </sheetPr>
  <dimension ref="A1:E18"/>
  <sheetViews>
    <sheetView showGridLines="0" workbookViewId="0">
      <pane ySplit="7" topLeftCell="A8" activePane="bottomLeft" state="frozen"/>
      <selection pane="bottomLeft" activeCell="A1" sqref="A1"/>
    </sheetView>
  </sheetViews>
  <sheetFormatPr baseColWidth="8" defaultRowHeight="15"/>
  <cols>
    <col width="26" customWidth="1" min="1" max="1"/>
    <col width="15" customWidth="1" min="2" max="2"/>
    <col width="15" customWidth="1" min="3" max="3"/>
    <col width="76" customWidth="1" min="4" max="4"/>
  </cols>
  <sheetData>
    <row r="1" ht="34" customHeight="1">
      <c r="C1" s="1" t="inlineStr">
        <is>
          <t>Grille tarifaire</t>
        </is>
      </c>
    </row>
    <row r="2" ht="14" customHeight="1">
      <c r="C2" s="2" t="inlineStr">
        <is>
          <t>PRICING.md §1 fait foi. Tranches NON rétroactives depuis le 2026-09-18.</t>
        </is>
      </c>
    </row>
    <row r="4">
      <c r="A4" s="7" t="inlineStr">
        <is>
          <t>Positions facturées au tarif d'entrée</t>
        </is>
      </c>
    </row>
    <row r="5">
      <c r="A5" s="7" t="inlineStr">
        <is>
          <t>Tranche d'entrée</t>
        </is>
      </c>
      <c r="B5" s="20" t="n">
        <v>4</v>
      </c>
      <c r="C5" s="14" t="inlineStr">
        <is>
          <t>positions</t>
        </is>
      </c>
    </row>
    <row r="7" ht="28" customHeight="1">
      <c r="A7" s="3" t="inlineStr">
        <is>
          <t>Métier</t>
        </is>
      </c>
      <c r="B7" s="3" t="inlineStr">
        <is>
          <t>Tarif d'entrée</t>
        </is>
      </c>
      <c r="C7" s="3" t="inlineStr">
        <is>
          <t>Tarif volume</t>
        </is>
      </c>
      <c r="D7" s="3" t="inlineStr">
        <is>
          <t>Commentaire</t>
        </is>
      </c>
    </row>
    <row r="8">
      <c r="A8" s="7" t="inlineStr">
        <is>
          <t>helpdesk</t>
        </is>
      </c>
      <c r="B8" s="18" t="n">
        <v>2000</v>
      </c>
      <c r="C8" s="18" t="n">
        <v>1750</v>
      </c>
      <c r="D8" s="6" t="inlineStr">
        <is>
          <t>Positions 1 à 4 au tarif d'entrée, 5 et suivantes au tarif volume. La remise ne s'applique jamais aux positions déjà tarifées.</t>
        </is>
      </c>
    </row>
    <row r="9">
      <c r="A9" s="7" t="inlineStr">
        <is>
          <t>support</t>
        </is>
      </c>
      <c r="B9" s="18" t="n">
        <v>1700</v>
      </c>
      <c r="C9" s="18" t="n">
        <v>1500</v>
      </c>
      <c r="D9" s="6" t="inlineStr">
        <is>
          <t>Positions 1 à 4 au tarif d'entrée, 5 et suivantes au tarif volume. La remise ne s'applique jamais aux positions déjà tarifées.</t>
        </is>
      </c>
    </row>
    <row r="11">
      <c r="A11" s="10" t="inlineStr">
        <is>
          <t>PLANCHERS</t>
        </is>
      </c>
      <c r="B11" s="11" t="n"/>
      <c r="C11" s="11" t="n"/>
      <c r="D11" s="11" t="n"/>
      <c r="E11" s="11" t="n"/>
    </row>
    <row r="12">
      <c r="A12" s="7" t="inlineStr">
        <is>
          <t>Plancher de négociation PRICING.md</t>
        </is>
      </c>
      <c r="B12" s="18" t="n">
        <v>920</v>
      </c>
      <c r="D12" s="22" t="inlineStr">
        <is>
          <t>À RÉVISER. Garde-fou de négociation, pas seuil de rentabilité : comparer à la ligne 13, puis chiffrer le contrat avec la structure du lancement.</t>
        </is>
      </c>
    </row>
    <row r="13">
      <c r="A13" s="7" t="inlineStr">
        <is>
          <t>Prix minimal viable, quel que soit le volume</t>
        </is>
      </c>
      <c r="B13" s="23">
        <f>(Hypothèses!B14+Hypothèses!B15/Hypothèses!B16)/(1-Hypothèses!B34-Hypothèses!B43)</f>
        <v>856.9639175257732</v>
      </c>
      <c r="D13" s="6" t="inlineStr">
        <is>
          <t>Coût d'un agent plus sa quote-part de manager, réserves sur CA comprises. En dessous, aucun volume ne rattrape le prix. Structure du lancement non comprise.</t>
        </is>
      </c>
    </row>
    <row r="15">
      <c r="A15" s="10" t="inlineStr">
        <is>
          <t>CLIENT FINAL — AUCUNE GRILLE ARBITRÉE</t>
        </is>
      </c>
      <c r="B15" s="11" t="n"/>
      <c r="C15" s="11" t="n"/>
      <c r="D15" s="11" t="n"/>
      <c r="E15" s="11" t="n"/>
    </row>
    <row r="16">
      <c r="A16" s="24" t="inlineStr">
        <is>
          <t>Repère archivé helpdesk</t>
        </is>
      </c>
      <c r="B16" s="25" t="n">
        <v>2200</v>
      </c>
      <c r="C16" s="25" t="n">
        <v>2800</v>
      </c>
    </row>
    <row r="17">
      <c r="A17" s="24" t="inlineStr">
        <is>
          <t>Repère archivé support</t>
        </is>
      </c>
      <c r="B17" s="25" t="n">
        <v>1900</v>
      </c>
      <c r="C17" s="25" t="n">
        <v>2400</v>
      </c>
    </row>
    <row r="18" ht="30" customHeight="1">
      <c r="A18" s="12" t="inlineStr">
        <is>
          <t>Ces fourchettes viennent du registre interne archivé (évaluation du 2026-06-10). AUCUNE DÉCISION DATÉE NE LES FIXE, et les sources de cette étude sont des sites de télésecrétariat médical et des BPO généralistes — aucune ne publie un prix de position dédiée en IT. Ne pas s'en servir comme tarif : un entrant se chiffre au coût réel et à la marge visée. Détail : AUDIT-CHIFFRES-2026-09-18.md.</t>
        </is>
      </c>
    </row>
  </sheetData>
  <mergeCells count="1">
    <mergeCell ref="A18:D1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E3B4E"/>
    <outlinePr summaryBelow="1" summaryRight="1"/>
    <pageSetUpPr/>
  </sheetPr>
  <dimension ref="A1:L15"/>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4" customWidth="1" min="3" max="3"/>
    <col width="12" customWidth="1" min="4" max="4"/>
    <col width="10" customWidth="1" min="5" max="5"/>
    <col width="12" customWidth="1" min="6" max="6"/>
    <col width="14" customWidth="1" min="7" max="7"/>
    <col width="12" customWidth="1" min="8" max="8"/>
    <col width="13" customWidth="1" min="9" max="9"/>
    <col width="13" customWidth="1" min="10" max="10"/>
    <col width="14" customWidth="1" min="11" max="11"/>
    <col width="13" customWidth="1" min="12" max="12"/>
  </cols>
  <sheetData>
    <row r="1" ht="34" customHeight="1">
      <c r="C1" s="1" t="inlineStr">
        <is>
          <t>Contrats</t>
        </is>
      </c>
    </row>
    <row r="2" ht="14" customHeight="1">
      <c r="C2" s="2" t="inlineStr">
        <is>
          <t>Cellules bleues : à modifier. Une ligne par contrat, huit au maximum.</t>
        </is>
      </c>
    </row>
    <row r="5" ht="28" customHeight="1">
      <c r="A5" s="3" t="inlineStr">
        <is>
          <t>Nom</t>
        </is>
      </c>
      <c r="B5" s="3" t="inlineStr">
        <is>
          <t>Mois de signature</t>
        </is>
      </c>
      <c r="C5" s="3" t="inlineStr">
        <is>
          <t>Métier</t>
        </is>
      </c>
      <c r="D5" s="3" t="inlineStr">
        <is>
          <t>Positions fermes</t>
        </is>
      </c>
      <c r="E5" s="3" t="inlineStr">
        <is>
          <t>Tarif</t>
        </is>
      </c>
      <c r="F5" s="3" t="inlineStr">
        <is>
          <t>Prix libre (€)</t>
        </is>
      </c>
      <c r="G5" s="3" t="inlineStr">
        <is>
          <t>CA mensuel</t>
        </is>
      </c>
      <c r="H5" s="3" t="inlineStr">
        <is>
          <t>Onboarding</t>
        </is>
      </c>
      <c r="I5" s="3" t="inlineStr">
        <is>
          <t>Dépôt encaissé</t>
        </is>
      </c>
      <c r="J5" s="3" t="inlineStr">
        <is>
          <t>Mise en service</t>
        </is>
      </c>
      <c r="K5" s="3" t="inlineStr">
        <is>
          <t>Crédit de dépôt / facture</t>
        </is>
      </c>
      <c r="L5" s="3" t="inlineStr">
        <is>
          <t>Postes de travail</t>
        </is>
      </c>
    </row>
    <row r="6">
      <c r="A6" s="26" t="inlineStr">
        <is>
          <t>Client A</t>
        </is>
      </c>
      <c r="B6" s="20" t="n">
        <v>4</v>
      </c>
      <c r="C6" s="27" t="inlineStr">
        <is>
          <t>helpdesk</t>
        </is>
      </c>
      <c r="D6" s="20" t="n">
        <v>3</v>
      </c>
      <c r="E6" s="27" t="inlineStr">
        <is>
          <t>mb</t>
        </is>
      </c>
      <c r="F6" s="18" t="n"/>
      <c r="G6" s="28">
        <f>IF($D6="",0,IF($E6="mb",MIN($D6,Grille!$B$5)*INDEX(Grille!$B$8:$B$9,MATCH($C6,Grille!$A$8:$A$9,0))+MAX(0,$D6-Grille!$B$5)*INDEX(Grille!$C$8:$C$9,MATCH($C6,Grille!$A$8:$A$9,0)),$D6*$F6))</f>
        <v>6000</v>
      </c>
      <c r="H6" s="29">
        <f>IF($D6="",0,Hypothèses!$B$21+$D6*Hypothèses!$B$22)</f>
        <v>1600</v>
      </c>
      <c r="I6" s="29">
        <f>IF($D6="",0,$D6*Hypothèses!$B$27)</f>
        <v>0</v>
      </c>
      <c r="J6" s="29">
        <f>IF($D6="",0,Hypothèses!$B$31+$D6*Hypothèses!$B$32)</f>
        <v>1470</v>
      </c>
      <c r="K6" s="29">
        <f>IF($D6="",0,$D6*Hypothèses!$B$28)</f>
        <v>0</v>
      </c>
      <c r="L6" s="29">
        <f>IF($D6="",0,$D6*Hypothèses!$B$41)</f>
        <v>2400</v>
      </c>
    </row>
    <row r="7">
      <c r="A7" s="26" t="inlineStr">
        <is>
          <t>Client B</t>
        </is>
      </c>
      <c r="B7" s="20" t="n">
        <v>4</v>
      </c>
      <c r="C7" s="27" t="inlineStr">
        <is>
          <t>helpdesk</t>
        </is>
      </c>
      <c r="D7" s="20" t="n">
        <v>2</v>
      </c>
      <c r="E7" s="27" t="inlineStr">
        <is>
          <t>mb</t>
        </is>
      </c>
      <c r="F7" s="18" t="n"/>
      <c r="G7" s="28">
        <f>IF($D7="",0,IF($E7="mb",MIN($D7,Grille!$B$5)*INDEX(Grille!$B$8:$B$9,MATCH($C7,Grille!$A$8:$A$9,0))+MAX(0,$D7-Grille!$B$5)*INDEX(Grille!$C$8:$C$9,MATCH($C7,Grille!$A$8:$A$9,0)),$D7*$F7))</f>
        <v>4000</v>
      </c>
      <c r="H7" s="29">
        <f>IF($D7="",0,Hypothèses!$B$21+$D7*Hypothèses!$B$22)</f>
        <v>1200</v>
      </c>
      <c r="I7" s="29">
        <f>IF($D7="",0,$D7*Hypothèses!$B$27)</f>
        <v>0</v>
      </c>
      <c r="J7" s="29">
        <f>IF($D7="",0,Hypothèses!$B$31+$D7*Hypothèses!$B$32)</f>
        <v>980</v>
      </c>
      <c r="K7" s="29">
        <f>IF($D7="",0,$D7*Hypothèses!$B$28)</f>
        <v>0</v>
      </c>
      <c r="L7" s="29">
        <f>IF($D7="",0,$D7*Hypothèses!$B$41)</f>
        <v>1600</v>
      </c>
    </row>
    <row r="8">
      <c r="A8" s="26" t="inlineStr"/>
      <c r="B8" s="20" t="n"/>
      <c r="C8" s="27" t="n"/>
      <c r="D8" s="20" t="n"/>
      <c r="E8" s="27" t="n"/>
      <c r="F8" s="18" t="n"/>
      <c r="G8" s="28">
        <f>IF($D8="",0,IF($E8="mb",MIN($D8,Grille!$B$5)*INDEX(Grille!$B$8:$B$9,MATCH($C8,Grille!$A$8:$A$9,0))+MAX(0,$D8-Grille!$B$5)*INDEX(Grille!$C$8:$C$9,MATCH($C8,Grille!$A$8:$A$9,0)),$D8*$F8))</f>
        <v>0</v>
      </c>
      <c r="H8" s="29">
        <f>IF($D8="",0,Hypothèses!$B$21+$D8*Hypothèses!$B$22)</f>
        <v>0</v>
      </c>
      <c r="I8" s="29">
        <f>IF($D8="",0,$D8*Hypothèses!$B$27)</f>
        <v>0</v>
      </c>
      <c r="J8" s="29">
        <f>IF($D8="",0,Hypothèses!$B$31+$D8*Hypothèses!$B$32)</f>
        <v>0</v>
      </c>
      <c r="K8" s="29">
        <f>IF($D8="",0,$D8*Hypothèses!$B$28)</f>
        <v>0</v>
      </c>
      <c r="L8" s="29">
        <f>IF($D8="",0,$D8*Hypothèses!$B$41)</f>
        <v>0</v>
      </c>
    </row>
    <row r="9">
      <c r="A9" s="26" t="inlineStr"/>
      <c r="B9" s="20" t="n"/>
      <c r="C9" s="27" t="n"/>
      <c r="D9" s="20" t="n"/>
      <c r="E9" s="27" t="n"/>
      <c r="F9" s="18" t="n"/>
      <c r="G9" s="28">
        <f>IF($D9="",0,IF($E9="mb",MIN($D9,Grille!$B$5)*INDEX(Grille!$B$8:$B$9,MATCH($C9,Grille!$A$8:$A$9,0))+MAX(0,$D9-Grille!$B$5)*INDEX(Grille!$C$8:$C$9,MATCH($C9,Grille!$A$8:$A$9,0)),$D9*$F9))</f>
        <v>0</v>
      </c>
      <c r="H9" s="29">
        <f>IF($D9="",0,Hypothèses!$B$21+$D9*Hypothèses!$B$22)</f>
        <v>0</v>
      </c>
      <c r="I9" s="29">
        <f>IF($D9="",0,$D9*Hypothèses!$B$27)</f>
        <v>0</v>
      </c>
      <c r="J9" s="29">
        <f>IF($D9="",0,Hypothèses!$B$31+$D9*Hypothèses!$B$32)</f>
        <v>0</v>
      </c>
      <c r="K9" s="29">
        <f>IF($D9="",0,$D9*Hypothèses!$B$28)</f>
        <v>0</v>
      </c>
      <c r="L9" s="29">
        <f>IF($D9="",0,$D9*Hypothèses!$B$41)</f>
        <v>0</v>
      </c>
    </row>
    <row r="10">
      <c r="A10" s="26" t="inlineStr"/>
      <c r="B10" s="20" t="n"/>
      <c r="C10" s="27" t="n"/>
      <c r="D10" s="20" t="n"/>
      <c r="E10" s="27" t="n"/>
      <c r="F10" s="18" t="n"/>
      <c r="G10" s="28">
        <f>IF($D10="",0,IF($E10="mb",MIN($D10,Grille!$B$5)*INDEX(Grille!$B$8:$B$9,MATCH($C10,Grille!$A$8:$A$9,0))+MAX(0,$D10-Grille!$B$5)*INDEX(Grille!$C$8:$C$9,MATCH($C10,Grille!$A$8:$A$9,0)),$D10*$F10))</f>
        <v>0</v>
      </c>
      <c r="H10" s="29">
        <f>IF($D10="",0,Hypothèses!$B$21+$D10*Hypothèses!$B$22)</f>
        <v>0</v>
      </c>
      <c r="I10" s="29">
        <f>IF($D10="",0,$D10*Hypothèses!$B$27)</f>
        <v>0</v>
      </c>
      <c r="J10" s="29">
        <f>IF($D10="",0,Hypothèses!$B$31+$D10*Hypothèses!$B$32)</f>
        <v>0</v>
      </c>
      <c r="K10" s="29">
        <f>IF($D10="",0,$D10*Hypothèses!$B$28)</f>
        <v>0</v>
      </c>
      <c r="L10" s="29">
        <f>IF($D10="",0,$D10*Hypothèses!$B$41)</f>
        <v>0</v>
      </c>
    </row>
    <row r="11">
      <c r="A11" s="26" t="inlineStr"/>
      <c r="B11" s="20" t="n"/>
      <c r="C11" s="27" t="n"/>
      <c r="D11" s="20" t="n"/>
      <c r="E11" s="27" t="n"/>
      <c r="F11" s="18" t="n"/>
      <c r="G11" s="28">
        <f>IF($D11="",0,IF($E11="mb",MIN($D11,Grille!$B$5)*INDEX(Grille!$B$8:$B$9,MATCH($C11,Grille!$A$8:$A$9,0))+MAX(0,$D11-Grille!$B$5)*INDEX(Grille!$C$8:$C$9,MATCH($C11,Grille!$A$8:$A$9,0)),$D11*$F11))</f>
        <v>0</v>
      </c>
      <c r="H11" s="29">
        <f>IF($D11="",0,Hypothèses!$B$21+$D11*Hypothèses!$B$22)</f>
        <v>0</v>
      </c>
      <c r="I11" s="29">
        <f>IF($D11="",0,$D11*Hypothèses!$B$27)</f>
        <v>0</v>
      </c>
      <c r="J11" s="29">
        <f>IF($D11="",0,Hypothèses!$B$31+$D11*Hypothèses!$B$32)</f>
        <v>0</v>
      </c>
      <c r="K11" s="29">
        <f>IF($D11="",0,$D11*Hypothèses!$B$28)</f>
        <v>0</v>
      </c>
      <c r="L11" s="29">
        <f>IF($D11="",0,$D11*Hypothèses!$B$41)</f>
        <v>0</v>
      </c>
    </row>
    <row r="12">
      <c r="A12" s="26" t="inlineStr"/>
      <c r="B12" s="20" t="n"/>
      <c r="C12" s="27" t="n"/>
      <c r="D12" s="20" t="n"/>
      <c r="E12" s="27" t="n"/>
      <c r="F12" s="18" t="n"/>
      <c r="G12" s="28">
        <f>IF($D12="",0,IF($E12="mb",MIN($D12,Grille!$B$5)*INDEX(Grille!$B$8:$B$9,MATCH($C12,Grille!$A$8:$A$9,0))+MAX(0,$D12-Grille!$B$5)*INDEX(Grille!$C$8:$C$9,MATCH($C12,Grille!$A$8:$A$9,0)),$D12*$F12))</f>
        <v>0</v>
      </c>
      <c r="H12" s="29">
        <f>IF($D12="",0,Hypothèses!$B$21+$D12*Hypothèses!$B$22)</f>
        <v>0</v>
      </c>
      <c r="I12" s="29">
        <f>IF($D12="",0,$D12*Hypothèses!$B$27)</f>
        <v>0</v>
      </c>
      <c r="J12" s="29">
        <f>IF($D12="",0,Hypothèses!$B$31+$D12*Hypothèses!$B$32)</f>
        <v>0</v>
      </c>
      <c r="K12" s="29">
        <f>IF($D12="",0,$D12*Hypothèses!$B$28)</f>
        <v>0</v>
      </c>
      <c r="L12" s="29">
        <f>IF($D12="",0,$D12*Hypothèses!$B$41)</f>
        <v>0</v>
      </c>
    </row>
    <row r="13">
      <c r="A13" s="26" t="inlineStr"/>
      <c r="B13" s="20" t="n"/>
      <c r="C13" s="27" t="n"/>
      <c r="D13" s="20" t="n"/>
      <c r="E13" s="27" t="n"/>
      <c r="F13" s="18" t="n"/>
      <c r="G13" s="28">
        <f>IF($D13="",0,IF($E13="mb",MIN($D13,Grille!$B$5)*INDEX(Grille!$B$8:$B$9,MATCH($C13,Grille!$A$8:$A$9,0))+MAX(0,$D13-Grille!$B$5)*INDEX(Grille!$C$8:$C$9,MATCH($C13,Grille!$A$8:$A$9,0)),$D13*$F13))</f>
        <v>0</v>
      </c>
      <c r="H13" s="29">
        <f>IF($D13="",0,Hypothèses!$B$21+$D13*Hypothèses!$B$22)</f>
        <v>0</v>
      </c>
      <c r="I13" s="29">
        <f>IF($D13="",0,$D13*Hypothèses!$B$27)</f>
        <v>0</v>
      </c>
      <c r="J13" s="29">
        <f>IF($D13="",0,Hypothèses!$B$31+$D13*Hypothèses!$B$32)</f>
        <v>0</v>
      </c>
      <c r="K13" s="29">
        <f>IF($D13="",0,$D13*Hypothèses!$B$28)</f>
        <v>0</v>
      </c>
      <c r="L13" s="29">
        <f>IF($D13="",0,$D13*Hypothèses!$B$41)</f>
        <v>0</v>
      </c>
    </row>
    <row r="15" ht="30" customHeight="1">
      <c r="A15" s="12" t="inlineStr">
        <is>
          <t>Métier : helpdesk ou support, en minuscules. Tarif : « mb » applique la grille par tranches de l'onglet Grille ; toute autre valeur applique le prix libre de la colonne F. En client final, le prix est OBLIGATOIREMENT saisi en colonne F : aucune grille directe n'existe. Ligne d'exemple : Partenaire A · 4 · helpdesk · 2 · mb · (vide) → 4 000 € de CA mensuel.</t>
        </is>
      </c>
    </row>
  </sheetData>
  <mergeCells count="1">
    <mergeCell ref="A15:L15"/>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sheetPr>
  <dimension ref="A1:N3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7" customWidth="1" min="3" max="3"/>
    <col width="11" customWidth="1" min="4" max="4"/>
    <col width="11" customWidth="1" min="5" max="5"/>
    <col width="12" customWidth="1" min="6" max="6"/>
    <col width="12" customWidth="1" min="7" max="7"/>
    <col width="12" customWidth="1" min="8" max="8"/>
    <col width="12" customWidth="1" min="9" max="9"/>
    <col width="11" customWidth="1" min="10" max="10"/>
    <col width="12" customWidth="1" min="11" max="11"/>
    <col width="15" customWidth="1" min="12" max="12"/>
    <col hidden="1" width="12" customWidth="1" min="13" max="13"/>
    <col hidden="1" width="12" customWidth="1" min="14" max="14"/>
  </cols>
  <sheetData>
    <row r="1" ht="34" customHeight="1">
      <c r="C1" s="1" t="inlineStr">
        <is>
          <t>Flux mensuels</t>
        </is>
      </c>
    </row>
    <row r="2" ht="14" customHeight="1">
      <c r="C2" s="2" t="inlineStr">
        <is>
          <t>Tout est formule. Modifiez Hypothèses ou Contrats : ce tableau suit.</t>
        </is>
      </c>
    </row>
    <row r="5" ht="28" customHeight="1">
      <c r="A5" s="3" t="inlineStr">
        <is>
          <t>Mois</t>
        </is>
      </c>
      <c r="B5" s="3" t="inlineStr">
        <is>
          <t>Agents</t>
        </is>
      </c>
      <c r="C5" s="3" t="inlineStr">
        <is>
          <t>Mgr</t>
        </is>
      </c>
      <c r="D5" s="3" t="inlineStr">
        <is>
          <t>Dépôt</t>
        </is>
      </c>
      <c r="E5" s="3" t="inlineStr">
        <is>
          <t>Activation</t>
        </is>
      </c>
      <c r="F5" s="3" t="inlineStr">
        <is>
          <t>Facturé</t>
        </is>
      </c>
      <c r="G5" s="3" t="inlineStr">
        <is>
          <t>Encaissé</t>
        </is>
      </c>
      <c r="H5" s="3" t="inlineStr">
        <is>
          <t>Personnel</t>
        </is>
      </c>
      <c r="I5" s="3" t="inlineStr">
        <is>
          <t>Onboarding et équipement</t>
        </is>
      </c>
      <c r="J5" s="3" t="inlineStr">
        <is>
          <t>Structure et réserves</t>
        </is>
      </c>
      <c r="K5" s="3" t="inlineStr">
        <is>
          <t>Résultat</t>
        </is>
      </c>
      <c r="L5" s="3" t="inlineStr">
        <is>
          <t>Cash fin de mois</t>
        </is>
      </c>
      <c r="M5" s="3" t="inlineStr">
        <is>
          <t>Positions helpdesk</t>
        </is>
      </c>
      <c r="N5" s="3" t="inlineStr">
        <is>
          <t>Positions support</t>
        </is>
      </c>
    </row>
    <row r="6">
      <c r="A6" s="30" t="n">
        <v>1</v>
      </c>
      <c r="B6" s="31">
        <f>$M6+$N6</f>
        <v>0</v>
      </c>
      <c r="C6" s="31">
        <f>IF($B6&lt;=Hypothèses!$B$17,0,IF($M6=0,0,CEILING($M6/Hypothèses!$B$16,1))+IF($N6=0,0,CEILING($N6/Hypothèses!$B$16,1)))</f>
        <v>0</v>
      </c>
      <c r="D6" s="29">
        <f>SUMPRODUCT((Contrats!$B$6:$B$13=$A6)*Contrats!$I$6:$I$13)</f>
        <v>0</v>
      </c>
      <c r="E6" s="29">
        <f>SUMPRODUCT((Contrats!$B$6:$B$13=$A6)*Contrats!$J$6:$J$13)</f>
        <v>0</v>
      </c>
      <c r="F6" s="29">
        <f>SUMPRODUCT(($A6&gt;=Contrats!$B$6:$B$13+Hypothèses!$B$24)*Contrats!$G$6:$G$13)-SUMPRODUCT(($A6-Contrats!$B$6:$B$13-Hypothèses!$B$24&gt;=0)*($A6-Contrats!$B$6:$B$13-Hypothèses!$B$24&lt;Hypothèses!$B$29)*Contrats!$K$6:$K$13)</f>
        <v>0</v>
      </c>
      <c r="G6" s="29">
        <f>(SUMPRODUCT(($A6&gt;=Contrats!$B$6:$B$13+Hypothèses!$B$24+Hypothèses!$B$26)*Contrats!$G$6:$G$13)-SUMPRODUCT(($A6-Hypothèses!$B$26-Contrats!$B$6:$B$13-Hypothèses!$B$24&gt;=0)*($A6-Hypothèses!$B$26-Contrats!$B$6:$B$13-Hypothèses!$B$24&lt;Hypothèses!$B$29)*Contrats!$K$6:$K$13))*(1-Hypothèses!$B$33)</f>
        <v>0</v>
      </c>
      <c r="H6" s="29">
        <f>-($B6*Hypothèses!$B$14+$C6*Hypothèses!$B$15)</f>
        <v>0</v>
      </c>
      <c r="I6" s="29">
        <f>-SUMPRODUCT((Contrats!$B$6:$B$13=$A6)*Contrats!$H$6:$H$13)-SUMPRODUCT((Contrats!$B$6:$B$13=$A6)*Contrats!$L$6:$L$13)-IF(AND($B6&gt;0,COUNTIF($B$6:$B6,"&gt;0")=1),Hypothèses!$B$42,0)</f>
        <v>0</v>
      </c>
      <c r="J6" s="29">
        <f>-(Hypothèses!$B$19+Hypothèses!$B$20+IF($B6&gt;0,Hypothèses!$B$40,0)+$G6*(Hypothèses!$B$34+Hypothèses!$B$43))</f>
        <v>-68</v>
      </c>
      <c r="K6" s="29">
        <f>$G6+$E6+$H6+$I6+$J6</f>
        <v>-68</v>
      </c>
      <c r="L6" s="28">
        <f>Hypothèses!$B$36+$D6+$K6</f>
        <v>-68</v>
      </c>
      <c r="M6" s="31">
        <f>SUMPRODUCT((Contrats!$C$6:$C$13="helpdesk")*($A6&gt;=Contrats!$B$6:$B$13+Hypothèses!$B$23)*Contrats!$D$6:$D$13)</f>
        <v>0</v>
      </c>
      <c r="N6" s="31">
        <f>SUMPRODUCT((Contrats!$C$6:$C$13="support")*($A6&gt;=Contrats!$B$6:$B$13+Hypothèses!$B$23)*Contrats!$D$6:$D$13)</f>
        <v>0</v>
      </c>
    </row>
    <row r="7">
      <c r="A7" s="32" t="n">
        <v>2</v>
      </c>
      <c r="B7" s="33">
        <f>$M7+$N7</f>
        <v>0</v>
      </c>
      <c r="C7" s="33">
        <f>IF($B7&lt;=Hypothèses!$B$17,0,IF($M7=0,0,CEILING($M7/Hypothèses!$B$16,1))+IF($N7=0,0,CEILING($N7/Hypothèses!$B$16,1)))</f>
        <v>0</v>
      </c>
      <c r="D7" s="34">
        <f>SUMPRODUCT((Contrats!$B$6:$B$13=$A7)*Contrats!$I$6:$I$13)</f>
        <v>0</v>
      </c>
      <c r="E7" s="34">
        <f>SUMPRODUCT((Contrats!$B$6:$B$13=$A7)*Contrats!$J$6:$J$13)</f>
        <v>0</v>
      </c>
      <c r="F7" s="34">
        <f>SUMPRODUCT(($A7&gt;=Contrats!$B$6:$B$13+Hypothèses!$B$24)*Contrats!$G$6:$G$13)-SUMPRODUCT(($A7-Contrats!$B$6:$B$13-Hypothèses!$B$24&gt;=0)*($A7-Contrats!$B$6:$B$13-Hypothèses!$B$24&lt;Hypothèses!$B$29)*Contrats!$K$6:$K$13)</f>
        <v>0</v>
      </c>
      <c r="G7" s="34">
        <f>(SUMPRODUCT(($A7&gt;=Contrats!$B$6:$B$13+Hypothèses!$B$24+Hypothèses!$B$26)*Contrats!$G$6:$G$13)-SUMPRODUCT(($A7-Hypothèses!$B$26-Contrats!$B$6:$B$13-Hypothèses!$B$24&gt;=0)*($A7-Hypothèses!$B$26-Contrats!$B$6:$B$13-Hypothèses!$B$24&lt;Hypothèses!$B$29)*Contrats!$K$6:$K$13))*(1-Hypothèses!$B$33)</f>
        <v>0</v>
      </c>
      <c r="H7" s="34">
        <f>-($B7*Hypothèses!$B$14+$C7*Hypothèses!$B$15)</f>
        <v>0</v>
      </c>
      <c r="I7" s="34">
        <f>-SUMPRODUCT((Contrats!$B$6:$B$13=$A7)*Contrats!$H$6:$H$13)-SUMPRODUCT((Contrats!$B$6:$B$13=$A7)*Contrats!$L$6:$L$13)-IF(AND($B7&gt;0,COUNTIF($B$6:$B7,"&gt;0")=1),Hypothèses!$B$42,0)</f>
        <v>0</v>
      </c>
      <c r="J7" s="34">
        <f>-(Hypothèses!$B$19+Hypothèses!$B$20+IF($B7&gt;0,Hypothèses!$B$40,0)+$G7*(Hypothèses!$B$34+Hypothèses!$B$43))</f>
        <v>-68</v>
      </c>
      <c r="K7" s="34">
        <f>$G7+$E7+$H7+$I7+$J7</f>
        <v>-68</v>
      </c>
      <c r="L7" s="35">
        <f>L6+$D7+$K7</f>
        <v>-136</v>
      </c>
      <c r="M7" s="33">
        <f>SUMPRODUCT((Contrats!$C$6:$C$13="helpdesk")*($A7&gt;=Contrats!$B$6:$B$13+Hypothèses!$B$23)*Contrats!$D$6:$D$13)</f>
        <v>0</v>
      </c>
      <c r="N7" s="33">
        <f>SUMPRODUCT((Contrats!$C$6:$C$13="support")*($A7&gt;=Contrats!$B$6:$B$13+Hypothèses!$B$23)*Contrats!$D$6:$D$13)</f>
        <v>0</v>
      </c>
    </row>
    <row r="8">
      <c r="A8" s="30" t="n">
        <v>3</v>
      </c>
      <c r="B8" s="31">
        <f>$M8+$N8</f>
        <v>0</v>
      </c>
      <c r="C8" s="31">
        <f>IF($B8&lt;=Hypothèses!$B$17,0,IF($M8=0,0,CEILING($M8/Hypothèses!$B$16,1))+IF($N8=0,0,CEILING($N8/Hypothèses!$B$16,1)))</f>
        <v>0</v>
      </c>
      <c r="D8" s="29">
        <f>SUMPRODUCT((Contrats!$B$6:$B$13=$A8)*Contrats!$I$6:$I$13)</f>
        <v>0</v>
      </c>
      <c r="E8" s="29">
        <f>SUMPRODUCT((Contrats!$B$6:$B$13=$A8)*Contrats!$J$6:$J$13)</f>
        <v>0</v>
      </c>
      <c r="F8" s="29">
        <f>SUMPRODUCT(($A8&gt;=Contrats!$B$6:$B$13+Hypothèses!$B$24)*Contrats!$G$6:$G$13)-SUMPRODUCT(($A8-Contrats!$B$6:$B$13-Hypothèses!$B$24&gt;=0)*($A8-Contrats!$B$6:$B$13-Hypothèses!$B$24&lt;Hypothèses!$B$29)*Contrats!$K$6:$K$13)</f>
        <v>0</v>
      </c>
      <c r="G8" s="29">
        <f>(SUMPRODUCT(($A8&gt;=Contrats!$B$6:$B$13+Hypothèses!$B$24+Hypothèses!$B$26)*Contrats!$G$6:$G$13)-SUMPRODUCT(($A8-Hypothèses!$B$26-Contrats!$B$6:$B$13-Hypothèses!$B$24&gt;=0)*($A8-Hypothèses!$B$26-Contrats!$B$6:$B$13-Hypothèses!$B$24&lt;Hypothèses!$B$29)*Contrats!$K$6:$K$13))*(1-Hypothèses!$B$33)</f>
        <v>0</v>
      </c>
      <c r="H8" s="29">
        <f>-($B8*Hypothèses!$B$14+$C8*Hypothèses!$B$15)</f>
        <v>0</v>
      </c>
      <c r="I8" s="29">
        <f>-SUMPRODUCT((Contrats!$B$6:$B$13=$A8)*Contrats!$H$6:$H$13)-SUMPRODUCT((Contrats!$B$6:$B$13=$A8)*Contrats!$L$6:$L$13)-IF(AND($B8&gt;0,COUNTIF($B$6:$B8,"&gt;0")=1),Hypothèses!$B$42,0)</f>
        <v>0</v>
      </c>
      <c r="J8" s="29">
        <f>-(Hypothèses!$B$19+Hypothèses!$B$20+IF($B8&gt;0,Hypothèses!$B$40,0)+$G8*(Hypothèses!$B$34+Hypothèses!$B$43))</f>
        <v>-68</v>
      </c>
      <c r="K8" s="29">
        <f>$G8+$E8+$H8+$I8+$J8</f>
        <v>-68</v>
      </c>
      <c r="L8" s="28">
        <f>L7+$D8+$K8</f>
        <v>-204</v>
      </c>
      <c r="M8" s="31">
        <f>SUMPRODUCT((Contrats!$C$6:$C$13="helpdesk")*($A8&gt;=Contrats!$B$6:$B$13+Hypothèses!$B$23)*Contrats!$D$6:$D$13)</f>
        <v>0</v>
      </c>
      <c r="N8" s="31">
        <f>SUMPRODUCT((Contrats!$C$6:$C$13="support")*($A8&gt;=Contrats!$B$6:$B$13+Hypothèses!$B$23)*Contrats!$D$6:$D$13)</f>
        <v>0</v>
      </c>
    </row>
    <row r="9">
      <c r="A9" s="32" t="n">
        <v>4</v>
      </c>
      <c r="B9" s="33">
        <f>$M9+$N9</f>
        <v>0</v>
      </c>
      <c r="C9" s="33">
        <f>IF($B9&lt;=Hypothèses!$B$17,0,IF($M9=0,0,CEILING($M9/Hypothèses!$B$16,1))+IF($N9=0,0,CEILING($N9/Hypothèses!$B$16,1)))</f>
        <v>0</v>
      </c>
      <c r="D9" s="34">
        <f>SUMPRODUCT((Contrats!$B$6:$B$13=$A9)*Contrats!$I$6:$I$13)</f>
        <v>0</v>
      </c>
      <c r="E9" s="34">
        <f>SUMPRODUCT((Contrats!$B$6:$B$13=$A9)*Contrats!$J$6:$J$13)</f>
        <v>2450</v>
      </c>
      <c r="F9" s="34">
        <f>SUMPRODUCT(($A9&gt;=Contrats!$B$6:$B$13+Hypothèses!$B$24)*Contrats!$G$6:$G$13)-SUMPRODUCT(($A9-Contrats!$B$6:$B$13-Hypothèses!$B$24&gt;=0)*($A9-Contrats!$B$6:$B$13-Hypothèses!$B$24&lt;Hypothèses!$B$29)*Contrats!$K$6:$K$13)</f>
        <v>0</v>
      </c>
      <c r="G9" s="34">
        <f>(SUMPRODUCT(($A9&gt;=Contrats!$B$6:$B$13+Hypothèses!$B$24+Hypothèses!$B$26)*Contrats!$G$6:$G$13)-SUMPRODUCT(($A9-Hypothèses!$B$26-Contrats!$B$6:$B$13-Hypothèses!$B$24&gt;=0)*($A9-Hypothèses!$B$26-Contrats!$B$6:$B$13-Hypothèses!$B$24&lt;Hypothèses!$B$29)*Contrats!$K$6:$K$13))*(1-Hypothèses!$B$33)</f>
        <v>0</v>
      </c>
      <c r="H9" s="34">
        <f>-($B9*Hypothèses!$B$14+$C9*Hypothèses!$B$15)</f>
        <v>0</v>
      </c>
      <c r="I9" s="34">
        <f>-SUMPRODUCT((Contrats!$B$6:$B$13=$A9)*Contrats!$H$6:$H$13)-SUMPRODUCT((Contrats!$B$6:$B$13=$A9)*Contrats!$L$6:$L$13)-IF(AND($B9&gt;0,COUNTIF($B$6:$B9,"&gt;0")=1),Hypothèses!$B$42,0)</f>
        <v>-6800</v>
      </c>
      <c r="J9" s="34">
        <f>-(Hypothèses!$B$19+Hypothèses!$B$20+IF($B9&gt;0,Hypothèses!$B$40,0)+$G9*(Hypothèses!$B$34+Hypothèses!$B$43))</f>
        <v>-68</v>
      </c>
      <c r="K9" s="34">
        <f>$G9+$E9+$H9+$I9+$J9</f>
        <v>-4418</v>
      </c>
      <c r="L9" s="35">
        <f>L8+$D9+$K9</f>
        <v>-4622</v>
      </c>
      <c r="M9" s="33">
        <f>SUMPRODUCT((Contrats!$C$6:$C$13="helpdesk")*($A9&gt;=Contrats!$B$6:$B$13+Hypothèses!$B$23)*Contrats!$D$6:$D$13)</f>
        <v>0</v>
      </c>
      <c r="N9" s="33">
        <f>SUMPRODUCT((Contrats!$C$6:$C$13="support")*($A9&gt;=Contrats!$B$6:$B$13+Hypothèses!$B$23)*Contrats!$D$6:$D$13)</f>
        <v>0</v>
      </c>
    </row>
    <row r="10">
      <c r="A10" s="30" t="n">
        <v>5</v>
      </c>
      <c r="B10" s="31">
        <f>$M10+$N10</f>
        <v>5</v>
      </c>
      <c r="C10" s="31">
        <f>IF($B10&lt;=Hypothèses!$B$17,0,IF($M10=0,0,CEILING($M10/Hypothèses!$B$16,1))+IF($N10=0,0,CEILING($N10/Hypothèses!$B$16,1)))</f>
        <v>0</v>
      </c>
      <c r="D10" s="29">
        <f>SUMPRODUCT((Contrats!$B$6:$B$13=$A10)*Contrats!$I$6:$I$13)</f>
        <v>0</v>
      </c>
      <c r="E10" s="29">
        <f>SUMPRODUCT((Contrats!$B$6:$B$13=$A10)*Contrats!$J$6:$J$13)</f>
        <v>0</v>
      </c>
      <c r="F10" s="29">
        <f>SUMPRODUCT(($A10&gt;=Contrats!$B$6:$B$13+Hypothèses!$B$24)*Contrats!$G$6:$G$13)-SUMPRODUCT(($A10-Contrats!$B$6:$B$13-Hypothèses!$B$24&gt;=0)*($A10-Contrats!$B$6:$B$13-Hypothèses!$B$24&lt;Hypothèses!$B$29)*Contrats!$K$6:$K$13)</f>
        <v>0</v>
      </c>
      <c r="G10" s="29">
        <f>(SUMPRODUCT(($A10&gt;=Contrats!$B$6:$B$13+Hypothèses!$B$24+Hypothèses!$B$26)*Contrats!$G$6:$G$13)-SUMPRODUCT(($A10-Hypothèses!$B$26-Contrats!$B$6:$B$13-Hypothèses!$B$24&gt;=0)*($A10-Hypothèses!$B$26-Contrats!$B$6:$B$13-Hypothèses!$B$24&lt;Hypothèses!$B$29)*Contrats!$K$6:$K$13))*(1-Hypothèses!$B$33)</f>
        <v>0</v>
      </c>
      <c r="H10" s="29">
        <f>-($B10*Hypothèses!$B$14+$C10*Hypothèses!$B$15)</f>
        <v>-3650</v>
      </c>
      <c r="I10" s="29">
        <f>-SUMPRODUCT((Contrats!$B$6:$B$13=$A10)*Contrats!$H$6:$H$13)-SUMPRODUCT((Contrats!$B$6:$B$13=$A10)*Contrats!$L$6:$L$13)-IF(AND($B10&gt;0,COUNTIF($B$6:$B10,"&gt;0")=1),Hypothèses!$B$42,0)</f>
        <v>-450</v>
      </c>
      <c r="J10" s="29">
        <f>-(Hypothèses!$B$19+Hypothèses!$B$20+IF($B10&gt;0,Hypothèses!$B$40,0)+$G10*(Hypothèses!$B$34+Hypothèses!$B$43))</f>
        <v>-2288</v>
      </c>
      <c r="K10" s="29">
        <f>$G10+$E10+$H10+$I10+$J10</f>
        <v>-6388</v>
      </c>
      <c r="L10" s="28">
        <f>L9+$D10+$K10</f>
        <v>-11010</v>
      </c>
      <c r="M10" s="31">
        <f>SUMPRODUCT((Contrats!$C$6:$C$13="helpdesk")*($A10&gt;=Contrats!$B$6:$B$13+Hypothèses!$B$23)*Contrats!$D$6:$D$13)</f>
        <v>5</v>
      </c>
      <c r="N10" s="31">
        <f>SUMPRODUCT((Contrats!$C$6:$C$13="support")*($A10&gt;=Contrats!$B$6:$B$13+Hypothèses!$B$23)*Contrats!$D$6:$D$13)</f>
        <v>0</v>
      </c>
    </row>
    <row r="11">
      <c r="A11" s="32" t="n">
        <v>6</v>
      </c>
      <c r="B11" s="33">
        <f>$M11+$N11</f>
        <v>5</v>
      </c>
      <c r="C11" s="33">
        <f>IF($B11&lt;=Hypothèses!$B$17,0,IF($M11=0,0,CEILING($M11/Hypothèses!$B$16,1))+IF($N11=0,0,CEILING($N11/Hypothèses!$B$16,1)))</f>
        <v>0</v>
      </c>
      <c r="D11" s="34">
        <f>SUMPRODUCT((Contrats!$B$6:$B$13=$A11)*Contrats!$I$6:$I$13)</f>
        <v>0</v>
      </c>
      <c r="E11" s="34">
        <f>SUMPRODUCT((Contrats!$B$6:$B$13=$A11)*Contrats!$J$6:$J$13)</f>
        <v>0</v>
      </c>
      <c r="F11" s="34">
        <f>SUMPRODUCT(($A11&gt;=Contrats!$B$6:$B$13+Hypothèses!$B$24)*Contrats!$G$6:$G$13)-SUMPRODUCT(($A11-Contrats!$B$6:$B$13-Hypothèses!$B$24&gt;=0)*($A11-Contrats!$B$6:$B$13-Hypothèses!$B$24&lt;Hypothèses!$B$29)*Contrats!$K$6:$K$13)</f>
        <v>10000</v>
      </c>
      <c r="G11" s="34">
        <f>(SUMPRODUCT(($A11&gt;=Contrats!$B$6:$B$13+Hypothèses!$B$24+Hypothèses!$B$26)*Contrats!$G$6:$G$13)-SUMPRODUCT(($A11-Hypothèses!$B$26-Contrats!$B$6:$B$13-Hypothèses!$B$24&gt;=0)*($A11-Hypothèses!$B$26-Contrats!$B$6:$B$13-Hypothèses!$B$24&lt;Hypothèses!$B$29)*Contrats!$K$6:$K$13))*(1-Hypothèses!$B$33)</f>
        <v>0</v>
      </c>
      <c r="H11" s="34">
        <f>-($B11*Hypothèses!$B$14+$C11*Hypothèses!$B$15)</f>
        <v>-3650</v>
      </c>
      <c r="I11" s="34">
        <f>-SUMPRODUCT((Contrats!$B$6:$B$13=$A11)*Contrats!$H$6:$H$13)-SUMPRODUCT((Contrats!$B$6:$B$13=$A11)*Contrats!$L$6:$L$13)-IF(AND($B11&gt;0,COUNTIF($B$6:$B11,"&gt;0")=1),Hypothèses!$B$42,0)</f>
        <v>0</v>
      </c>
      <c r="J11" s="34">
        <f>-(Hypothèses!$B$19+Hypothèses!$B$20+IF($B11&gt;0,Hypothèses!$B$40,0)+$G11*(Hypothèses!$B$34+Hypothèses!$B$43))</f>
        <v>-2288</v>
      </c>
      <c r="K11" s="34">
        <f>$G11+$E11+$H11+$I11+$J11</f>
        <v>-5938</v>
      </c>
      <c r="L11" s="35">
        <f>L10+$D11+$K11</f>
        <v>-16948</v>
      </c>
      <c r="M11" s="33">
        <f>SUMPRODUCT((Contrats!$C$6:$C$13="helpdesk")*($A11&gt;=Contrats!$B$6:$B$13+Hypothèses!$B$23)*Contrats!$D$6:$D$13)</f>
        <v>5</v>
      </c>
      <c r="N11" s="33">
        <f>SUMPRODUCT((Contrats!$C$6:$C$13="support")*($A11&gt;=Contrats!$B$6:$B$13+Hypothèses!$B$23)*Contrats!$D$6:$D$13)</f>
        <v>0</v>
      </c>
    </row>
    <row r="12">
      <c r="A12" s="30" t="n">
        <v>7</v>
      </c>
      <c r="B12" s="31">
        <f>$M12+$N12</f>
        <v>5</v>
      </c>
      <c r="C12" s="31">
        <f>IF($B12&lt;=Hypothèses!$B$17,0,IF($M12=0,0,CEILING($M12/Hypothèses!$B$16,1))+IF($N12=0,0,CEILING($N12/Hypothèses!$B$16,1)))</f>
        <v>0</v>
      </c>
      <c r="D12" s="29">
        <f>SUMPRODUCT((Contrats!$B$6:$B$13=$A12)*Contrats!$I$6:$I$13)</f>
        <v>0</v>
      </c>
      <c r="E12" s="29">
        <f>SUMPRODUCT((Contrats!$B$6:$B$13=$A12)*Contrats!$J$6:$J$13)</f>
        <v>0</v>
      </c>
      <c r="F12" s="29">
        <f>SUMPRODUCT(($A12&gt;=Contrats!$B$6:$B$13+Hypothèses!$B$24)*Contrats!$G$6:$G$13)-SUMPRODUCT(($A12-Contrats!$B$6:$B$13-Hypothèses!$B$24&gt;=0)*($A12-Contrats!$B$6:$B$13-Hypothèses!$B$24&lt;Hypothèses!$B$29)*Contrats!$K$6:$K$13)</f>
        <v>10000</v>
      </c>
      <c r="G12" s="29">
        <f>(SUMPRODUCT(($A12&gt;=Contrats!$B$6:$B$13+Hypothèses!$B$24+Hypothèses!$B$26)*Contrats!$G$6:$G$13)-SUMPRODUCT(($A12-Hypothèses!$B$26-Contrats!$B$6:$B$13-Hypothèses!$B$24&gt;=0)*($A12-Hypothèses!$B$26-Contrats!$B$6:$B$13-Hypothèses!$B$24&lt;Hypothèses!$B$29)*Contrats!$K$6:$K$13))*(1-Hypothèses!$B$33)</f>
        <v>10000</v>
      </c>
      <c r="H12" s="29">
        <f>-($B12*Hypothèses!$B$14+$C12*Hypothèses!$B$15)</f>
        <v>-3650</v>
      </c>
      <c r="I12" s="29">
        <f>-SUMPRODUCT((Contrats!$B$6:$B$13=$A12)*Contrats!$H$6:$H$13)-SUMPRODUCT((Contrats!$B$6:$B$13=$A12)*Contrats!$L$6:$L$13)-IF(AND($B12&gt;0,COUNTIF($B$6:$B12,"&gt;0")=1),Hypothèses!$B$42,0)</f>
        <v>0</v>
      </c>
      <c r="J12" s="29">
        <f>-(Hypothèses!$B$19+Hypothèses!$B$20+IF($B12&gt;0,Hypothèses!$B$40,0)+$G12*(Hypothèses!$B$34+Hypothèses!$B$43))</f>
        <v>-2588</v>
      </c>
      <c r="K12" s="29">
        <f>$G12+$E12+$H12+$I12+$J12</f>
        <v>3762</v>
      </c>
      <c r="L12" s="28">
        <f>L11+$D12+$K12</f>
        <v>-13186</v>
      </c>
      <c r="M12" s="31">
        <f>SUMPRODUCT((Contrats!$C$6:$C$13="helpdesk")*($A12&gt;=Contrats!$B$6:$B$13+Hypothèses!$B$23)*Contrats!$D$6:$D$13)</f>
        <v>5</v>
      </c>
      <c r="N12" s="31">
        <f>SUMPRODUCT((Contrats!$C$6:$C$13="support")*($A12&gt;=Contrats!$B$6:$B$13+Hypothèses!$B$23)*Contrats!$D$6:$D$13)</f>
        <v>0</v>
      </c>
    </row>
    <row r="13">
      <c r="A13" s="32" t="n">
        <v>8</v>
      </c>
      <c r="B13" s="33">
        <f>$M13+$N13</f>
        <v>5</v>
      </c>
      <c r="C13" s="33">
        <f>IF($B13&lt;=Hypothèses!$B$17,0,IF($M13=0,0,CEILING($M13/Hypothèses!$B$16,1))+IF($N13=0,0,CEILING($N13/Hypothèses!$B$16,1)))</f>
        <v>0</v>
      </c>
      <c r="D13" s="34">
        <f>SUMPRODUCT((Contrats!$B$6:$B$13=$A13)*Contrats!$I$6:$I$13)</f>
        <v>0</v>
      </c>
      <c r="E13" s="34">
        <f>SUMPRODUCT((Contrats!$B$6:$B$13=$A13)*Contrats!$J$6:$J$13)</f>
        <v>0</v>
      </c>
      <c r="F13" s="34">
        <f>SUMPRODUCT(($A13&gt;=Contrats!$B$6:$B$13+Hypothèses!$B$24)*Contrats!$G$6:$G$13)-SUMPRODUCT(($A13-Contrats!$B$6:$B$13-Hypothèses!$B$24&gt;=0)*($A13-Contrats!$B$6:$B$13-Hypothèses!$B$24&lt;Hypothèses!$B$29)*Contrats!$K$6:$K$13)</f>
        <v>10000</v>
      </c>
      <c r="G13" s="34">
        <f>(SUMPRODUCT(($A13&gt;=Contrats!$B$6:$B$13+Hypothèses!$B$24+Hypothèses!$B$26)*Contrats!$G$6:$G$13)-SUMPRODUCT(($A13-Hypothèses!$B$26-Contrats!$B$6:$B$13-Hypothèses!$B$24&gt;=0)*($A13-Hypothèses!$B$26-Contrats!$B$6:$B$13-Hypothèses!$B$24&lt;Hypothèses!$B$29)*Contrats!$K$6:$K$13))*(1-Hypothèses!$B$33)</f>
        <v>10000</v>
      </c>
      <c r="H13" s="34">
        <f>-($B13*Hypothèses!$B$14+$C13*Hypothèses!$B$15)</f>
        <v>-3650</v>
      </c>
      <c r="I13" s="34">
        <f>-SUMPRODUCT((Contrats!$B$6:$B$13=$A13)*Contrats!$H$6:$H$13)-SUMPRODUCT((Contrats!$B$6:$B$13=$A13)*Contrats!$L$6:$L$13)-IF(AND($B13&gt;0,COUNTIF($B$6:$B13,"&gt;0")=1),Hypothèses!$B$42,0)</f>
        <v>0</v>
      </c>
      <c r="J13" s="34">
        <f>-(Hypothèses!$B$19+Hypothèses!$B$20+IF($B13&gt;0,Hypothèses!$B$40,0)+$G13*(Hypothèses!$B$34+Hypothèses!$B$43))</f>
        <v>-2588</v>
      </c>
      <c r="K13" s="34">
        <f>$G13+$E13+$H13+$I13+$J13</f>
        <v>3762</v>
      </c>
      <c r="L13" s="35">
        <f>L12+$D13+$K13</f>
        <v>-9424</v>
      </c>
      <c r="M13" s="33">
        <f>SUMPRODUCT((Contrats!$C$6:$C$13="helpdesk")*($A13&gt;=Contrats!$B$6:$B$13+Hypothèses!$B$23)*Contrats!$D$6:$D$13)</f>
        <v>5</v>
      </c>
      <c r="N13" s="33">
        <f>SUMPRODUCT((Contrats!$C$6:$C$13="support")*($A13&gt;=Contrats!$B$6:$B$13+Hypothèses!$B$23)*Contrats!$D$6:$D$13)</f>
        <v>0</v>
      </c>
    </row>
    <row r="14">
      <c r="A14" s="30" t="n">
        <v>9</v>
      </c>
      <c r="B14" s="31">
        <f>$M14+$N14</f>
        <v>5</v>
      </c>
      <c r="C14" s="31">
        <f>IF($B14&lt;=Hypothèses!$B$17,0,IF($M14=0,0,CEILING($M14/Hypothèses!$B$16,1))+IF($N14=0,0,CEILING($N14/Hypothèses!$B$16,1)))</f>
        <v>0</v>
      </c>
      <c r="D14" s="29">
        <f>SUMPRODUCT((Contrats!$B$6:$B$13=$A14)*Contrats!$I$6:$I$13)</f>
        <v>0</v>
      </c>
      <c r="E14" s="29">
        <f>SUMPRODUCT((Contrats!$B$6:$B$13=$A14)*Contrats!$J$6:$J$13)</f>
        <v>0</v>
      </c>
      <c r="F14" s="29">
        <f>SUMPRODUCT(($A14&gt;=Contrats!$B$6:$B$13+Hypothèses!$B$24)*Contrats!$G$6:$G$13)-SUMPRODUCT(($A14-Contrats!$B$6:$B$13-Hypothèses!$B$24&gt;=0)*($A14-Contrats!$B$6:$B$13-Hypothèses!$B$24&lt;Hypothèses!$B$29)*Contrats!$K$6:$K$13)</f>
        <v>10000</v>
      </c>
      <c r="G14" s="29">
        <f>(SUMPRODUCT(($A14&gt;=Contrats!$B$6:$B$13+Hypothèses!$B$24+Hypothèses!$B$26)*Contrats!$G$6:$G$13)-SUMPRODUCT(($A14-Hypothèses!$B$26-Contrats!$B$6:$B$13-Hypothèses!$B$24&gt;=0)*($A14-Hypothèses!$B$26-Contrats!$B$6:$B$13-Hypothèses!$B$24&lt;Hypothèses!$B$29)*Contrats!$K$6:$K$13))*(1-Hypothèses!$B$33)</f>
        <v>10000</v>
      </c>
      <c r="H14" s="29">
        <f>-($B14*Hypothèses!$B$14+$C14*Hypothèses!$B$15)</f>
        <v>-3650</v>
      </c>
      <c r="I14" s="29">
        <f>-SUMPRODUCT((Contrats!$B$6:$B$13=$A14)*Contrats!$H$6:$H$13)-SUMPRODUCT((Contrats!$B$6:$B$13=$A14)*Contrats!$L$6:$L$13)-IF(AND($B14&gt;0,COUNTIF($B$6:$B14,"&gt;0")=1),Hypothèses!$B$42,0)</f>
        <v>0</v>
      </c>
      <c r="J14" s="29">
        <f>-(Hypothèses!$B$19+Hypothèses!$B$20+IF($B14&gt;0,Hypothèses!$B$40,0)+$G14*(Hypothèses!$B$34+Hypothèses!$B$43))</f>
        <v>-2588</v>
      </c>
      <c r="K14" s="29">
        <f>$G14+$E14+$H14+$I14+$J14</f>
        <v>3762</v>
      </c>
      <c r="L14" s="28">
        <f>L13+$D14+$K14</f>
        <v>-5662</v>
      </c>
      <c r="M14" s="31">
        <f>SUMPRODUCT((Contrats!$C$6:$C$13="helpdesk")*($A14&gt;=Contrats!$B$6:$B$13+Hypothèses!$B$23)*Contrats!$D$6:$D$13)</f>
        <v>5</v>
      </c>
      <c r="N14" s="31">
        <f>SUMPRODUCT((Contrats!$C$6:$C$13="support")*($A14&gt;=Contrats!$B$6:$B$13+Hypothèses!$B$23)*Contrats!$D$6:$D$13)</f>
        <v>0</v>
      </c>
    </row>
    <row r="15">
      <c r="A15" s="32" t="n">
        <v>10</v>
      </c>
      <c r="B15" s="33">
        <f>$M15+$N15</f>
        <v>5</v>
      </c>
      <c r="C15" s="33">
        <f>IF($B15&lt;=Hypothèses!$B$17,0,IF($M15=0,0,CEILING($M15/Hypothèses!$B$16,1))+IF($N15=0,0,CEILING($N15/Hypothèses!$B$16,1)))</f>
        <v>0</v>
      </c>
      <c r="D15" s="34">
        <f>SUMPRODUCT((Contrats!$B$6:$B$13=$A15)*Contrats!$I$6:$I$13)</f>
        <v>0</v>
      </c>
      <c r="E15" s="34">
        <f>SUMPRODUCT((Contrats!$B$6:$B$13=$A15)*Contrats!$J$6:$J$13)</f>
        <v>0</v>
      </c>
      <c r="F15" s="34">
        <f>SUMPRODUCT(($A15&gt;=Contrats!$B$6:$B$13+Hypothèses!$B$24)*Contrats!$G$6:$G$13)-SUMPRODUCT(($A15-Contrats!$B$6:$B$13-Hypothèses!$B$24&gt;=0)*($A15-Contrats!$B$6:$B$13-Hypothèses!$B$24&lt;Hypothèses!$B$29)*Contrats!$K$6:$K$13)</f>
        <v>10000</v>
      </c>
      <c r="G15" s="34">
        <f>(SUMPRODUCT(($A15&gt;=Contrats!$B$6:$B$13+Hypothèses!$B$24+Hypothèses!$B$26)*Contrats!$G$6:$G$13)-SUMPRODUCT(($A15-Hypothèses!$B$26-Contrats!$B$6:$B$13-Hypothèses!$B$24&gt;=0)*($A15-Hypothèses!$B$26-Contrats!$B$6:$B$13-Hypothèses!$B$24&lt;Hypothèses!$B$29)*Contrats!$K$6:$K$13))*(1-Hypothèses!$B$33)</f>
        <v>10000</v>
      </c>
      <c r="H15" s="34">
        <f>-($B15*Hypothèses!$B$14+$C15*Hypothèses!$B$15)</f>
        <v>-3650</v>
      </c>
      <c r="I15" s="34">
        <f>-SUMPRODUCT((Contrats!$B$6:$B$13=$A15)*Contrats!$H$6:$H$13)-SUMPRODUCT((Contrats!$B$6:$B$13=$A15)*Contrats!$L$6:$L$13)-IF(AND($B15&gt;0,COUNTIF($B$6:$B15,"&gt;0")=1),Hypothèses!$B$42,0)</f>
        <v>0</v>
      </c>
      <c r="J15" s="34">
        <f>-(Hypothèses!$B$19+Hypothèses!$B$20+IF($B15&gt;0,Hypothèses!$B$40,0)+$G15*(Hypothèses!$B$34+Hypothèses!$B$43))</f>
        <v>-2588</v>
      </c>
      <c r="K15" s="34">
        <f>$G15+$E15+$H15+$I15+$J15</f>
        <v>3762</v>
      </c>
      <c r="L15" s="35">
        <f>L14+$D15+$K15</f>
        <v>-1900</v>
      </c>
      <c r="M15" s="33">
        <f>SUMPRODUCT((Contrats!$C$6:$C$13="helpdesk")*($A15&gt;=Contrats!$B$6:$B$13+Hypothèses!$B$23)*Contrats!$D$6:$D$13)</f>
        <v>5</v>
      </c>
      <c r="N15" s="33">
        <f>SUMPRODUCT((Contrats!$C$6:$C$13="support")*($A15&gt;=Contrats!$B$6:$B$13+Hypothèses!$B$23)*Contrats!$D$6:$D$13)</f>
        <v>0</v>
      </c>
    </row>
    <row r="16">
      <c r="A16" s="30" t="n">
        <v>11</v>
      </c>
      <c r="B16" s="31">
        <f>$M16+$N16</f>
        <v>5</v>
      </c>
      <c r="C16" s="31">
        <f>IF($B16&lt;=Hypothèses!$B$17,0,IF($M16=0,0,CEILING($M16/Hypothèses!$B$16,1))+IF($N16=0,0,CEILING($N16/Hypothèses!$B$16,1)))</f>
        <v>0</v>
      </c>
      <c r="D16" s="29">
        <f>SUMPRODUCT((Contrats!$B$6:$B$13=$A16)*Contrats!$I$6:$I$13)</f>
        <v>0</v>
      </c>
      <c r="E16" s="29">
        <f>SUMPRODUCT((Contrats!$B$6:$B$13=$A16)*Contrats!$J$6:$J$13)</f>
        <v>0</v>
      </c>
      <c r="F16" s="29">
        <f>SUMPRODUCT(($A16&gt;=Contrats!$B$6:$B$13+Hypothèses!$B$24)*Contrats!$G$6:$G$13)-SUMPRODUCT(($A16-Contrats!$B$6:$B$13-Hypothèses!$B$24&gt;=0)*($A16-Contrats!$B$6:$B$13-Hypothèses!$B$24&lt;Hypothèses!$B$29)*Contrats!$K$6:$K$13)</f>
        <v>10000</v>
      </c>
      <c r="G16" s="29">
        <f>(SUMPRODUCT(($A16&gt;=Contrats!$B$6:$B$13+Hypothèses!$B$24+Hypothèses!$B$26)*Contrats!$G$6:$G$13)-SUMPRODUCT(($A16-Hypothèses!$B$26-Contrats!$B$6:$B$13-Hypothèses!$B$24&gt;=0)*($A16-Hypothèses!$B$26-Contrats!$B$6:$B$13-Hypothèses!$B$24&lt;Hypothèses!$B$29)*Contrats!$K$6:$K$13))*(1-Hypothèses!$B$33)</f>
        <v>10000</v>
      </c>
      <c r="H16" s="29">
        <f>-($B16*Hypothèses!$B$14+$C16*Hypothèses!$B$15)</f>
        <v>-3650</v>
      </c>
      <c r="I16" s="29">
        <f>-SUMPRODUCT((Contrats!$B$6:$B$13=$A16)*Contrats!$H$6:$H$13)-SUMPRODUCT((Contrats!$B$6:$B$13=$A16)*Contrats!$L$6:$L$13)-IF(AND($B16&gt;0,COUNTIF($B$6:$B16,"&gt;0")=1),Hypothèses!$B$42,0)</f>
        <v>0</v>
      </c>
      <c r="J16" s="29">
        <f>-(Hypothèses!$B$19+Hypothèses!$B$20+IF($B16&gt;0,Hypothèses!$B$40,0)+$G16*(Hypothèses!$B$34+Hypothèses!$B$43))</f>
        <v>-2588</v>
      </c>
      <c r="K16" s="29">
        <f>$G16+$E16+$H16+$I16+$J16</f>
        <v>3762</v>
      </c>
      <c r="L16" s="28">
        <f>L15+$D16+$K16</f>
        <v>1862</v>
      </c>
      <c r="M16" s="31">
        <f>SUMPRODUCT((Contrats!$C$6:$C$13="helpdesk")*($A16&gt;=Contrats!$B$6:$B$13+Hypothèses!$B$23)*Contrats!$D$6:$D$13)</f>
        <v>5</v>
      </c>
      <c r="N16" s="31">
        <f>SUMPRODUCT((Contrats!$C$6:$C$13="support")*($A16&gt;=Contrats!$B$6:$B$13+Hypothèses!$B$23)*Contrats!$D$6:$D$13)</f>
        <v>0</v>
      </c>
    </row>
    <row r="17">
      <c r="A17" s="32" t="n">
        <v>12</v>
      </c>
      <c r="B17" s="33">
        <f>$M17+$N17</f>
        <v>5</v>
      </c>
      <c r="C17" s="33">
        <f>IF($B17&lt;=Hypothèses!$B$17,0,IF($M17=0,0,CEILING($M17/Hypothèses!$B$16,1))+IF($N17=0,0,CEILING($N17/Hypothèses!$B$16,1)))</f>
        <v>0</v>
      </c>
      <c r="D17" s="34">
        <f>SUMPRODUCT((Contrats!$B$6:$B$13=$A17)*Contrats!$I$6:$I$13)</f>
        <v>0</v>
      </c>
      <c r="E17" s="34">
        <f>SUMPRODUCT((Contrats!$B$6:$B$13=$A17)*Contrats!$J$6:$J$13)</f>
        <v>0</v>
      </c>
      <c r="F17" s="34">
        <f>SUMPRODUCT(($A17&gt;=Contrats!$B$6:$B$13+Hypothèses!$B$24)*Contrats!$G$6:$G$13)-SUMPRODUCT(($A17-Contrats!$B$6:$B$13-Hypothèses!$B$24&gt;=0)*($A17-Contrats!$B$6:$B$13-Hypothèses!$B$24&lt;Hypothèses!$B$29)*Contrats!$K$6:$K$13)</f>
        <v>10000</v>
      </c>
      <c r="G17" s="34">
        <f>(SUMPRODUCT(($A17&gt;=Contrats!$B$6:$B$13+Hypothèses!$B$24+Hypothèses!$B$26)*Contrats!$G$6:$G$13)-SUMPRODUCT(($A17-Hypothèses!$B$26-Contrats!$B$6:$B$13-Hypothèses!$B$24&gt;=0)*($A17-Hypothèses!$B$26-Contrats!$B$6:$B$13-Hypothèses!$B$24&lt;Hypothèses!$B$29)*Contrats!$K$6:$K$13))*(1-Hypothèses!$B$33)</f>
        <v>10000</v>
      </c>
      <c r="H17" s="34">
        <f>-($B17*Hypothèses!$B$14+$C17*Hypothèses!$B$15)</f>
        <v>-3650</v>
      </c>
      <c r="I17" s="34">
        <f>-SUMPRODUCT((Contrats!$B$6:$B$13=$A17)*Contrats!$H$6:$H$13)-SUMPRODUCT((Contrats!$B$6:$B$13=$A17)*Contrats!$L$6:$L$13)-IF(AND($B17&gt;0,COUNTIF($B$6:$B17,"&gt;0")=1),Hypothèses!$B$42,0)</f>
        <v>0</v>
      </c>
      <c r="J17" s="34">
        <f>-(Hypothèses!$B$19+Hypothèses!$B$20+IF($B17&gt;0,Hypothèses!$B$40,0)+$G17*(Hypothèses!$B$34+Hypothèses!$B$43))</f>
        <v>-2588</v>
      </c>
      <c r="K17" s="34">
        <f>$G17+$E17+$H17+$I17+$J17</f>
        <v>3762</v>
      </c>
      <c r="L17" s="35">
        <f>L16+$D17+$K17</f>
        <v>5624</v>
      </c>
      <c r="M17" s="33">
        <f>SUMPRODUCT((Contrats!$C$6:$C$13="helpdesk")*($A17&gt;=Contrats!$B$6:$B$13+Hypothèses!$B$23)*Contrats!$D$6:$D$13)</f>
        <v>5</v>
      </c>
      <c r="N17" s="33">
        <f>SUMPRODUCT((Contrats!$C$6:$C$13="support")*($A17&gt;=Contrats!$B$6:$B$13+Hypothèses!$B$23)*Contrats!$D$6:$D$13)</f>
        <v>0</v>
      </c>
    </row>
    <row r="18">
      <c r="A18" s="30" t="n">
        <v>13</v>
      </c>
      <c r="B18" s="31">
        <f>$M18+$N18</f>
        <v>5</v>
      </c>
      <c r="C18" s="31">
        <f>IF($B18&lt;=Hypothèses!$B$17,0,IF($M18=0,0,CEILING($M18/Hypothèses!$B$16,1))+IF($N18=0,0,CEILING($N18/Hypothèses!$B$16,1)))</f>
        <v>0</v>
      </c>
      <c r="D18" s="29">
        <f>SUMPRODUCT((Contrats!$B$6:$B$13=$A18)*Contrats!$I$6:$I$13)</f>
        <v>0</v>
      </c>
      <c r="E18" s="29">
        <f>SUMPRODUCT((Contrats!$B$6:$B$13=$A18)*Contrats!$J$6:$J$13)</f>
        <v>0</v>
      </c>
      <c r="F18" s="29">
        <f>SUMPRODUCT(($A18&gt;=Contrats!$B$6:$B$13+Hypothèses!$B$24)*Contrats!$G$6:$G$13)-SUMPRODUCT(($A18-Contrats!$B$6:$B$13-Hypothèses!$B$24&gt;=0)*($A18-Contrats!$B$6:$B$13-Hypothèses!$B$24&lt;Hypothèses!$B$29)*Contrats!$K$6:$K$13)</f>
        <v>10000</v>
      </c>
      <c r="G18" s="29">
        <f>(SUMPRODUCT(($A18&gt;=Contrats!$B$6:$B$13+Hypothèses!$B$24+Hypothèses!$B$26)*Contrats!$G$6:$G$13)-SUMPRODUCT(($A18-Hypothèses!$B$26-Contrats!$B$6:$B$13-Hypothèses!$B$24&gt;=0)*($A18-Hypothèses!$B$26-Contrats!$B$6:$B$13-Hypothèses!$B$24&lt;Hypothèses!$B$29)*Contrats!$K$6:$K$13))*(1-Hypothèses!$B$33)</f>
        <v>10000</v>
      </c>
      <c r="H18" s="29">
        <f>-($B18*Hypothèses!$B$14+$C18*Hypothèses!$B$15)</f>
        <v>-3650</v>
      </c>
      <c r="I18" s="29">
        <f>-SUMPRODUCT((Contrats!$B$6:$B$13=$A18)*Contrats!$H$6:$H$13)-SUMPRODUCT((Contrats!$B$6:$B$13=$A18)*Contrats!$L$6:$L$13)-IF(AND($B18&gt;0,COUNTIF($B$6:$B18,"&gt;0")=1),Hypothèses!$B$42,0)</f>
        <v>0</v>
      </c>
      <c r="J18" s="29">
        <f>-(Hypothèses!$B$19+Hypothèses!$B$20+IF($B18&gt;0,Hypothèses!$B$40,0)+$G18*(Hypothèses!$B$34+Hypothèses!$B$43))</f>
        <v>-2588</v>
      </c>
      <c r="K18" s="29">
        <f>$G18+$E18+$H18+$I18+$J18</f>
        <v>3762</v>
      </c>
      <c r="L18" s="28">
        <f>L17+$D18+$K18</f>
        <v>9386</v>
      </c>
      <c r="M18" s="31">
        <f>SUMPRODUCT((Contrats!$C$6:$C$13="helpdesk")*($A18&gt;=Contrats!$B$6:$B$13+Hypothèses!$B$23)*Contrats!$D$6:$D$13)</f>
        <v>5</v>
      </c>
      <c r="N18" s="31">
        <f>SUMPRODUCT((Contrats!$C$6:$C$13="support")*($A18&gt;=Contrats!$B$6:$B$13+Hypothèses!$B$23)*Contrats!$D$6:$D$13)</f>
        <v>0</v>
      </c>
    </row>
    <row r="19">
      <c r="A19" s="32" t="n">
        <v>14</v>
      </c>
      <c r="B19" s="33">
        <f>$M19+$N19</f>
        <v>5</v>
      </c>
      <c r="C19" s="33">
        <f>IF($B19&lt;=Hypothèses!$B$17,0,IF($M19=0,0,CEILING($M19/Hypothèses!$B$16,1))+IF($N19=0,0,CEILING($N19/Hypothèses!$B$16,1)))</f>
        <v>0</v>
      </c>
      <c r="D19" s="34">
        <f>SUMPRODUCT((Contrats!$B$6:$B$13=$A19)*Contrats!$I$6:$I$13)</f>
        <v>0</v>
      </c>
      <c r="E19" s="34">
        <f>SUMPRODUCT((Contrats!$B$6:$B$13=$A19)*Contrats!$J$6:$J$13)</f>
        <v>0</v>
      </c>
      <c r="F19" s="34">
        <f>SUMPRODUCT(($A19&gt;=Contrats!$B$6:$B$13+Hypothèses!$B$24)*Contrats!$G$6:$G$13)-SUMPRODUCT(($A19-Contrats!$B$6:$B$13-Hypothèses!$B$24&gt;=0)*($A19-Contrats!$B$6:$B$13-Hypothèses!$B$24&lt;Hypothèses!$B$29)*Contrats!$K$6:$K$13)</f>
        <v>10000</v>
      </c>
      <c r="G19" s="34">
        <f>(SUMPRODUCT(($A19&gt;=Contrats!$B$6:$B$13+Hypothèses!$B$24+Hypothèses!$B$26)*Contrats!$G$6:$G$13)-SUMPRODUCT(($A19-Hypothèses!$B$26-Contrats!$B$6:$B$13-Hypothèses!$B$24&gt;=0)*($A19-Hypothèses!$B$26-Contrats!$B$6:$B$13-Hypothèses!$B$24&lt;Hypothèses!$B$29)*Contrats!$K$6:$K$13))*(1-Hypothèses!$B$33)</f>
        <v>10000</v>
      </c>
      <c r="H19" s="34">
        <f>-($B19*Hypothèses!$B$14+$C19*Hypothèses!$B$15)</f>
        <v>-3650</v>
      </c>
      <c r="I19" s="34">
        <f>-SUMPRODUCT((Contrats!$B$6:$B$13=$A19)*Contrats!$H$6:$H$13)-SUMPRODUCT((Contrats!$B$6:$B$13=$A19)*Contrats!$L$6:$L$13)-IF(AND($B19&gt;0,COUNTIF($B$6:$B19,"&gt;0")=1),Hypothèses!$B$42,0)</f>
        <v>0</v>
      </c>
      <c r="J19" s="34">
        <f>-(Hypothèses!$B$19+Hypothèses!$B$20+IF($B19&gt;0,Hypothèses!$B$40,0)+$G19*(Hypothèses!$B$34+Hypothèses!$B$43))</f>
        <v>-2588</v>
      </c>
      <c r="K19" s="34">
        <f>$G19+$E19+$H19+$I19+$J19</f>
        <v>3762</v>
      </c>
      <c r="L19" s="35">
        <f>L18+$D19+$K19</f>
        <v>13148</v>
      </c>
      <c r="M19" s="33">
        <f>SUMPRODUCT((Contrats!$C$6:$C$13="helpdesk")*($A19&gt;=Contrats!$B$6:$B$13+Hypothèses!$B$23)*Contrats!$D$6:$D$13)</f>
        <v>5</v>
      </c>
      <c r="N19" s="33">
        <f>SUMPRODUCT((Contrats!$C$6:$C$13="support")*($A19&gt;=Contrats!$B$6:$B$13+Hypothèses!$B$23)*Contrats!$D$6:$D$13)</f>
        <v>0</v>
      </c>
    </row>
    <row r="20">
      <c r="A20" s="30" t="n">
        <v>15</v>
      </c>
      <c r="B20" s="31">
        <f>$M20+$N20</f>
        <v>5</v>
      </c>
      <c r="C20" s="31">
        <f>IF($B20&lt;=Hypothèses!$B$17,0,IF($M20=0,0,CEILING($M20/Hypothèses!$B$16,1))+IF($N20=0,0,CEILING($N20/Hypothèses!$B$16,1)))</f>
        <v>0</v>
      </c>
      <c r="D20" s="29">
        <f>SUMPRODUCT((Contrats!$B$6:$B$13=$A20)*Contrats!$I$6:$I$13)</f>
        <v>0</v>
      </c>
      <c r="E20" s="29">
        <f>SUMPRODUCT((Contrats!$B$6:$B$13=$A20)*Contrats!$J$6:$J$13)</f>
        <v>0</v>
      </c>
      <c r="F20" s="29">
        <f>SUMPRODUCT(($A20&gt;=Contrats!$B$6:$B$13+Hypothèses!$B$24)*Contrats!$G$6:$G$13)-SUMPRODUCT(($A20-Contrats!$B$6:$B$13-Hypothèses!$B$24&gt;=0)*($A20-Contrats!$B$6:$B$13-Hypothèses!$B$24&lt;Hypothèses!$B$29)*Contrats!$K$6:$K$13)</f>
        <v>10000</v>
      </c>
      <c r="G20" s="29">
        <f>(SUMPRODUCT(($A20&gt;=Contrats!$B$6:$B$13+Hypothèses!$B$24+Hypothèses!$B$26)*Contrats!$G$6:$G$13)-SUMPRODUCT(($A20-Hypothèses!$B$26-Contrats!$B$6:$B$13-Hypothèses!$B$24&gt;=0)*($A20-Hypothèses!$B$26-Contrats!$B$6:$B$13-Hypothèses!$B$24&lt;Hypothèses!$B$29)*Contrats!$K$6:$K$13))*(1-Hypothèses!$B$33)</f>
        <v>10000</v>
      </c>
      <c r="H20" s="29">
        <f>-($B20*Hypothèses!$B$14+$C20*Hypothèses!$B$15)</f>
        <v>-3650</v>
      </c>
      <c r="I20" s="29">
        <f>-SUMPRODUCT((Contrats!$B$6:$B$13=$A20)*Contrats!$H$6:$H$13)-SUMPRODUCT((Contrats!$B$6:$B$13=$A20)*Contrats!$L$6:$L$13)-IF(AND($B20&gt;0,COUNTIF($B$6:$B20,"&gt;0")=1),Hypothèses!$B$42,0)</f>
        <v>0</v>
      </c>
      <c r="J20" s="29">
        <f>-(Hypothèses!$B$19+Hypothèses!$B$20+IF($B20&gt;0,Hypothèses!$B$40,0)+$G20*(Hypothèses!$B$34+Hypothèses!$B$43))</f>
        <v>-2588</v>
      </c>
      <c r="K20" s="29">
        <f>$G20+$E20+$H20+$I20+$J20</f>
        <v>3762</v>
      </c>
      <c r="L20" s="28">
        <f>L19+$D20+$K20</f>
        <v>16910</v>
      </c>
      <c r="M20" s="31">
        <f>SUMPRODUCT((Contrats!$C$6:$C$13="helpdesk")*($A20&gt;=Contrats!$B$6:$B$13+Hypothèses!$B$23)*Contrats!$D$6:$D$13)</f>
        <v>5</v>
      </c>
      <c r="N20" s="31">
        <f>SUMPRODUCT((Contrats!$C$6:$C$13="support")*($A20&gt;=Contrats!$B$6:$B$13+Hypothèses!$B$23)*Contrats!$D$6:$D$13)</f>
        <v>0</v>
      </c>
    </row>
    <row r="21">
      <c r="A21" s="32" t="n">
        <v>16</v>
      </c>
      <c r="B21" s="33">
        <f>$M21+$N21</f>
        <v>5</v>
      </c>
      <c r="C21" s="33">
        <f>IF($B21&lt;=Hypothèses!$B$17,0,IF($M21=0,0,CEILING($M21/Hypothèses!$B$16,1))+IF($N21=0,0,CEILING($N21/Hypothèses!$B$16,1)))</f>
        <v>0</v>
      </c>
      <c r="D21" s="34">
        <f>SUMPRODUCT((Contrats!$B$6:$B$13=$A21)*Contrats!$I$6:$I$13)</f>
        <v>0</v>
      </c>
      <c r="E21" s="34">
        <f>SUMPRODUCT((Contrats!$B$6:$B$13=$A21)*Contrats!$J$6:$J$13)</f>
        <v>0</v>
      </c>
      <c r="F21" s="34">
        <f>SUMPRODUCT(($A21&gt;=Contrats!$B$6:$B$13+Hypothèses!$B$24)*Contrats!$G$6:$G$13)-SUMPRODUCT(($A21-Contrats!$B$6:$B$13-Hypothèses!$B$24&gt;=0)*($A21-Contrats!$B$6:$B$13-Hypothèses!$B$24&lt;Hypothèses!$B$29)*Contrats!$K$6:$K$13)</f>
        <v>10000</v>
      </c>
      <c r="G21" s="34">
        <f>(SUMPRODUCT(($A21&gt;=Contrats!$B$6:$B$13+Hypothèses!$B$24+Hypothèses!$B$26)*Contrats!$G$6:$G$13)-SUMPRODUCT(($A21-Hypothèses!$B$26-Contrats!$B$6:$B$13-Hypothèses!$B$24&gt;=0)*($A21-Hypothèses!$B$26-Contrats!$B$6:$B$13-Hypothèses!$B$24&lt;Hypothèses!$B$29)*Contrats!$K$6:$K$13))*(1-Hypothèses!$B$33)</f>
        <v>10000</v>
      </c>
      <c r="H21" s="34">
        <f>-($B21*Hypothèses!$B$14+$C21*Hypothèses!$B$15)</f>
        <v>-3650</v>
      </c>
      <c r="I21" s="34">
        <f>-SUMPRODUCT((Contrats!$B$6:$B$13=$A21)*Contrats!$H$6:$H$13)-SUMPRODUCT((Contrats!$B$6:$B$13=$A21)*Contrats!$L$6:$L$13)-IF(AND($B21&gt;0,COUNTIF($B$6:$B21,"&gt;0")=1),Hypothèses!$B$42,0)</f>
        <v>0</v>
      </c>
      <c r="J21" s="34">
        <f>-(Hypothèses!$B$19+Hypothèses!$B$20+IF($B21&gt;0,Hypothèses!$B$40,0)+$G21*(Hypothèses!$B$34+Hypothèses!$B$43))</f>
        <v>-2588</v>
      </c>
      <c r="K21" s="34">
        <f>$G21+$E21+$H21+$I21+$J21</f>
        <v>3762</v>
      </c>
      <c r="L21" s="35">
        <f>L20+$D21+$K21</f>
        <v>20672</v>
      </c>
      <c r="M21" s="33">
        <f>SUMPRODUCT((Contrats!$C$6:$C$13="helpdesk")*($A21&gt;=Contrats!$B$6:$B$13+Hypothèses!$B$23)*Contrats!$D$6:$D$13)</f>
        <v>5</v>
      </c>
      <c r="N21" s="33">
        <f>SUMPRODUCT((Contrats!$C$6:$C$13="support")*($A21&gt;=Contrats!$B$6:$B$13+Hypothèses!$B$23)*Contrats!$D$6:$D$13)</f>
        <v>0</v>
      </c>
    </row>
    <row r="22">
      <c r="A22" s="30" t="n">
        <v>17</v>
      </c>
      <c r="B22" s="31">
        <f>$M22+$N22</f>
        <v>5</v>
      </c>
      <c r="C22" s="31">
        <f>IF($B22&lt;=Hypothèses!$B$17,0,IF($M22=0,0,CEILING($M22/Hypothèses!$B$16,1))+IF($N22=0,0,CEILING($N22/Hypothèses!$B$16,1)))</f>
        <v>0</v>
      </c>
      <c r="D22" s="29">
        <f>SUMPRODUCT((Contrats!$B$6:$B$13=$A22)*Contrats!$I$6:$I$13)</f>
        <v>0</v>
      </c>
      <c r="E22" s="29">
        <f>SUMPRODUCT((Contrats!$B$6:$B$13=$A22)*Contrats!$J$6:$J$13)</f>
        <v>0</v>
      </c>
      <c r="F22" s="29">
        <f>SUMPRODUCT(($A22&gt;=Contrats!$B$6:$B$13+Hypothèses!$B$24)*Contrats!$G$6:$G$13)-SUMPRODUCT(($A22-Contrats!$B$6:$B$13-Hypothèses!$B$24&gt;=0)*($A22-Contrats!$B$6:$B$13-Hypothèses!$B$24&lt;Hypothèses!$B$29)*Contrats!$K$6:$K$13)</f>
        <v>10000</v>
      </c>
      <c r="G22" s="29">
        <f>(SUMPRODUCT(($A22&gt;=Contrats!$B$6:$B$13+Hypothèses!$B$24+Hypothèses!$B$26)*Contrats!$G$6:$G$13)-SUMPRODUCT(($A22-Hypothèses!$B$26-Contrats!$B$6:$B$13-Hypothèses!$B$24&gt;=0)*($A22-Hypothèses!$B$26-Contrats!$B$6:$B$13-Hypothèses!$B$24&lt;Hypothèses!$B$29)*Contrats!$K$6:$K$13))*(1-Hypothèses!$B$33)</f>
        <v>10000</v>
      </c>
      <c r="H22" s="29">
        <f>-($B22*Hypothèses!$B$14+$C22*Hypothèses!$B$15)</f>
        <v>-3650</v>
      </c>
      <c r="I22" s="29">
        <f>-SUMPRODUCT((Contrats!$B$6:$B$13=$A22)*Contrats!$H$6:$H$13)-SUMPRODUCT((Contrats!$B$6:$B$13=$A22)*Contrats!$L$6:$L$13)-IF(AND($B22&gt;0,COUNTIF($B$6:$B22,"&gt;0")=1),Hypothèses!$B$42,0)</f>
        <v>0</v>
      </c>
      <c r="J22" s="29">
        <f>-(Hypothèses!$B$19+Hypothèses!$B$20+IF($B22&gt;0,Hypothèses!$B$40,0)+$G22*(Hypothèses!$B$34+Hypothèses!$B$43))</f>
        <v>-2588</v>
      </c>
      <c r="K22" s="29">
        <f>$G22+$E22+$H22+$I22+$J22</f>
        <v>3762</v>
      </c>
      <c r="L22" s="28">
        <f>L21+$D22+$K22</f>
        <v>24434</v>
      </c>
      <c r="M22" s="31">
        <f>SUMPRODUCT((Contrats!$C$6:$C$13="helpdesk")*($A22&gt;=Contrats!$B$6:$B$13+Hypothèses!$B$23)*Contrats!$D$6:$D$13)</f>
        <v>5</v>
      </c>
      <c r="N22" s="31">
        <f>SUMPRODUCT((Contrats!$C$6:$C$13="support")*($A22&gt;=Contrats!$B$6:$B$13+Hypothèses!$B$23)*Contrats!$D$6:$D$13)</f>
        <v>0</v>
      </c>
    </row>
    <row r="23">
      <c r="A23" s="32" t="n">
        <v>18</v>
      </c>
      <c r="B23" s="33">
        <f>$M23+$N23</f>
        <v>5</v>
      </c>
      <c r="C23" s="33">
        <f>IF($B23&lt;=Hypothèses!$B$17,0,IF($M23=0,0,CEILING($M23/Hypothèses!$B$16,1))+IF($N23=0,0,CEILING($N23/Hypothèses!$B$16,1)))</f>
        <v>0</v>
      </c>
      <c r="D23" s="34">
        <f>SUMPRODUCT((Contrats!$B$6:$B$13=$A23)*Contrats!$I$6:$I$13)</f>
        <v>0</v>
      </c>
      <c r="E23" s="34">
        <f>SUMPRODUCT((Contrats!$B$6:$B$13=$A23)*Contrats!$J$6:$J$13)</f>
        <v>0</v>
      </c>
      <c r="F23" s="34">
        <f>SUMPRODUCT(($A23&gt;=Contrats!$B$6:$B$13+Hypothèses!$B$24)*Contrats!$G$6:$G$13)-SUMPRODUCT(($A23-Contrats!$B$6:$B$13-Hypothèses!$B$24&gt;=0)*($A23-Contrats!$B$6:$B$13-Hypothèses!$B$24&lt;Hypothèses!$B$29)*Contrats!$K$6:$K$13)</f>
        <v>10000</v>
      </c>
      <c r="G23" s="34">
        <f>(SUMPRODUCT(($A23&gt;=Contrats!$B$6:$B$13+Hypothèses!$B$24+Hypothèses!$B$26)*Contrats!$G$6:$G$13)-SUMPRODUCT(($A23-Hypothèses!$B$26-Contrats!$B$6:$B$13-Hypothèses!$B$24&gt;=0)*($A23-Hypothèses!$B$26-Contrats!$B$6:$B$13-Hypothèses!$B$24&lt;Hypothèses!$B$29)*Contrats!$K$6:$K$13))*(1-Hypothèses!$B$33)</f>
        <v>10000</v>
      </c>
      <c r="H23" s="34">
        <f>-($B23*Hypothèses!$B$14+$C23*Hypothèses!$B$15)</f>
        <v>-3650</v>
      </c>
      <c r="I23" s="34">
        <f>-SUMPRODUCT((Contrats!$B$6:$B$13=$A23)*Contrats!$H$6:$H$13)-SUMPRODUCT((Contrats!$B$6:$B$13=$A23)*Contrats!$L$6:$L$13)-IF(AND($B23&gt;0,COUNTIF($B$6:$B23,"&gt;0")=1),Hypothèses!$B$42,0)</f>
        <v>0</v>
      </c>
      <c r="J23" s="34">
        <f>-(Hypothèses!$B$19+Hypothèses!$B$20+IF($B23&gt;0,Hypothèses!$B$40,0)+$G23*(Hypothèses!$B$34+Hypothèses!$B$43))</f>
        <v>-2588</v>
      </c>
      <c r="K23" s="34">
        <f>$G23+$E23+$H23+$I23+$J23</f>
        <v>3762</v>
      </c>
      <c r="L23" s="35">
        <f>L22+$D23+$K23</f>
        <v>28196</v>
      </c>
      <c r="M23" s="33">
        <f>SUMPRODUCT((Contrats!$C$6:$C$13="helpdesk")*($A23&gt;=Contrats!$B$6:$B$13+Hypothèses!$B$23)*Contrats!$D$6:$D$13)</f>
        <v>5</v>
      </c>
      <c r="N23" s="33">
        <f>SUMPRODUCT((Contrats!$C$6:$C$13="support")*($A23&gt;=Contrats!$B$6:$B$13+Hypothèses!$B$23)*Contrats!$D$6:$D$13)</f>
        <v>0</v>
      </c>
    </row>
    <row r="24">
      <c r="A24" s="30" t="n">
        <v>19</v>
      </c>
      <c r="B24" s="31">
        <f>$M24+$N24</f>
        <v>5</v>
      </c>
      <c r="C24" s="31">
        <f>IF($B24&lt;=Hypothèses!$B$17,0,IF($M24=0,0,CEILING($M24/Hypothèses!$B$16,1))+IF($N24=0,0,CEILING($N24/Hypothèses!$B$16,1)))</f>
        <v>0</v>
      </c>
      <c r="D24" s="29">
        <f>SUMPRODUCT((Contrats!$B$6:$B$13=$A24)*Contrats!$I$6:$I$13)</f>
        <v>0</v>
      </c>
      <c r="E24" s="29">
        <f>SUMPRODUCT((Contrats!$B$6:$B$13=$A24)*Contrats!$J$6:$J$13)</f>
        <v>0</v>
      </c>
      <c r="F24" s="29">
        <f>SUMPRODUCT(($A24&gt;=Contrats!$B$6:$B$13+Hypothèses!$B$24)*Contrats!$G$6:$G$13)-SUMPRODUCT(($A24-Contrats!$B$6:$B$13-Hypothèses!$B$24&gt;=0)*($A24-Contrats!$B$6:$B$13-Hypothèses!$B$24&lt;Hypothèses!$B$29)*Contrats!$K$6:$K$13)</f>
        <v>10000</v>
      </c>
      <c r="G24" s="29">
        <f>(SUMPRODUCT(($A24&gt;=Contrats!$B$6:$B$13+Hypothèses!$B$24+Hypothèses!$B$26)*Contrats!$G$6:$G$13)-SUMPRODUCT(($A24-Hypothèses!$B$26-Contrats!$B$6:$B$13-Hypothèses!$B$24&gt;=0)*($A24-Hypothèses!$B$26-Contrats!$B$6:$B$13-Hypothèses!$B$24&lt;Hypothèses!$B$29)*Contrats!$K$6:$K$13))*(1-Hypothèses!$B$33)</f>
        <v>10000</v>
      </c>
      <c r="H24" s="29">
        <f>-($B24*Hypothèses!$B$14+$C24*Hypothèses!$B$15)</f>
        <v>-3650</v>
      </c>
      <c r="I24" s="29">
        <f>-SUMPRODUCT((Contrats!$B$6:$B$13=$A24)*Contrats!$H$6:$H$13)-SUMPRODUCT((Contrats!$B$6:$B$13=$A24)*Contrats!$L$6:$L$13)-IF(AND($B24&gt;0,COUNTIF($B$6:$B24,"&gt;0")=1),Hypothèses!$B$42,0)</f>
        <v>0</v>
      </c>
      <c r="J24" s="29">
        <f>-(Hypothèses!$B$19+Hypothèses!$B$20+IF($B24&gt;0,Hypothèses!$B$40,0)+$G24*(Hypothèses!$B$34+Hypothèses!$B$43))</f>
        <v>-2588</v>
      </c>
      <c r="K24" s="29">
        <f>$G24+$E24+$H24+$I24+$J24</f>
        <v>3762</v>
      </c>
      <c r="L24" s="28">
        <f>L23+$D24+$K24</f>
        <v>31958</v>
      </c>
      <c r="M24" s="31">
        <f>SUMPRODUCT((Contrats!$C$6:$C$13="helpdesk")*($A24&gt;=Contrats!$B$6:$B$13+Hypothèses!$B$23)*Contrats!$D$6:$D$13)</f>
        <v>5</v>
      </c>
      <c r="N24" s="31">
        <f>SUMPRODUCT((Contrats!$C$6:$C$13="support")*($A24&gt;=Contrats!$B$6:$B$13+Hypothèses!$B$23)*Contrats!$D$6:$D$13)</f>
        <v>0</v>
      </c>
    </row>
    <row r="25">
      <c r="A25" s="32" t="n">
        <v>20</v>
      </c>
      <c r="B25" s="33">
        <f>$M25+$N25</f>
        <v>5</v>
      </c>
      <c r="C25" s="33">
        <f>IF($B25&lt;=Hypothèses!$B$17,0,IF($M25=0,0,CEILING($M25/Hypothèses!$B$16,1))+IF($N25=0,0,CEILING($N25/Hypothèses!$B$16,1)))</f>
        <v>0</v>
      </c>
      <c r="D25" s="34">
        <f>SUMPRODUCT((Contrats!$B$6:$B$13=$A25)*Contrats!$I$6:$I$13)</f>
        <v>0</v>
      </c>
      <c r="E25" s="34">
        <f>SUMPRODUCT((Contrats!$B$6:$B$13=$A25)*Contrats!$J$6:$J$13)</f>
        <v>0</v>
      </c>
      <c r="F25" s="34">
        <f>SUMPRODUCT(($A25&gt;=Contrats!$B$6:$B$13+Hypothèses!$B$24)*Contrats!$G$6:$G$13)-SUMPRODUCT(($A25-Contrats!$B$6:$B$13-Hypothèses!$B$24&gt;=0)*($A25-Contrats!$B$6:$B$13-Hypothèses!$B$24&lt;Hypothèses!$B$29)*Contrats!$K$6:$K$13)</f>
        <v>10000</v>
      </c>
      <c r="G25" s="34">
        <f>(SUMPRODUCT(($A25&gt;=Contrats!$B$6:$B$13+Hypothèses!$B$24+Hypothèses!$B$26)*Contrats!$G$6:$G$13)-SUMPRODUCT(($A25-Hypothèses!$B$26-Contrats!$B$6:$B$13-Hypothèses!$B$24&gt;=0)*($A25-Hypothèses!$B$26-Contrats!$B$6:$B$13-Hypothèses!$B$24&lt;Hypothèses!$B$29)*Contrats!$K$6:$K$13))*(1-Hypothèses!$B$33)</f>
        <v>10000</v>
      </c>
      <c r="H25" s="34">
        <f>-($B25*Hypothèses!$B$14+$C25*Hypothèses!$B$15)</f>
        <v>-3650</v>
      </c>
      <c r="I25" s="34">
        <f>-SUMPRODUCT((Contrats!$B$6:$B$13=$A25)*Contrats!$H$6:$H$13)-SUMPRODUCT((Contrats!$B$6:$B$13=$A25)*Contrats!$L$6:$L$13)-IF(AND($B25&gt;0,COUNTIF($B$6:$B25,"&gt;0")=1),Hypothèses!$B$42,0)</f>
        <v>0</v>
      </c>
      <c r="J25" s="34">
        <f>-(Hypothèses!$B$19+Hypothèses!$B$20+IF($B25&gt;0,Hypothèses!$B$40,0)+$G25*(Hypothèses!$B$34+Hypothèses!$B$43))</f>
        <v>-2588</v>
      </c>
      <c r="K25" s="34">
        <f>$G25+$E25+$H25+$I25+$J25</f>
        <v>3762</v>
      </c>
      <c r="L25" s="35">
        <f>L24+$D25+$K25</f>
        <v>35720</v>
      </c>
      <c r="M25" s="33">
        <f>SUMPRODUCT((Contrats!$C$6:$C$13="helpdesk")*($A25&gt;=Contrats!$B$6:$B$13+Hypothèses!$B$23)*Contrats!$D$6:$D$13)</f>
        <v>5</v>
      </c>
      <c r="N25" s="33">
        <f>SUMPRODUCT((Contrats!$C$6:$C$13="support")*($A25&gt;=Contrats!$B$6:$B$13+Hypothèses!$B$23)*Contrats!$D$6:$D$13)</f>
        <v>0</v>
      </c>
    </row>
    <row r="26">
      <c r="A26" s="30" t="n">
        <v>21</v>
      </c>
      <c r="B26" s="31">
        <f>$M26+$N26</f>
        <v>5</v>
      </c>
      <c r="C26" s="31">
        <f>IF($B26&lt;=Hypothèses!$B$17,0,IF($M26=0,0,CEILING($M26/Hypothèses!$B$16,1))+IF($N26=0,0,CEILING($N26/Hypothèses!$B$16,1)))</f>
        <v>0</v>
      </c>
      <c r="D26" s="29">
        <f>SUMPRODUCT((Contrats!$B$6:$B$13=$A26)*Contrats!$I$6:$I$13)</f>
        <v>0</v>
      </c>
      <c r="E26" s="29">
        <f>SUMPRODUCT((Contrats!$B$6:$B$13=$A26)*Contrats!$J$6:$J$13)</f>
        <v>0</v>
      </c>
      <c r="F26" s="29">
        <f>SUMPRODUCT(($A26&gt;=Contrats!$B$6:$B$13+Hypothèses!$B$24)*Contrats!$G$6:$G$13)-SUMPRODUCT(($A26-Contrats!$B$6:$B$13-Hypothèses!$B$24&gt;=0)*($A26-Contrats!$B$6:$B$13-Hypothèses!$B$24&lt;Hypothèses!$B$29)*Contrats!$K$6:$K$13)</f>
        <v>10000</v>
      </c>
      <c r="G26" s="29">
        <f>(SUMPRODUCT(($A26&gt;=Contrats!$B$6:$B$13+Hypothèses!$B$24+Hypothèses!$B$26)*Contrats!$G$6:$G$13)-SUMPRODUCT(($A26-Hypothèses!$B$26-Contrats!$B$6:$B$13-Hypothèses!$B$24&gt;=0)*($A26-Hypothèses!$B$26-Contrats!$B$6:$B$13-Hypothèses!$B$24&lt;Hypothèses!$B$29)*Contrats!$K$6:$K$13))*(1-Hypothèses!$B$33)</f>
        <v>10000</v>
      </c>
      <c r="H26" s="29">
        <f>-($B26*Hypothèses!$B$14+$C26*Hypothèses!$B$15)</f>
        <v>-3650</v>
      </c>
      <c r="I26" s="29">
        <f>-SUMPRODUCT((Contrats!$B$6:$B$13=$A26)*Contrats!$H$6:$H$13)-SUMPRODUCT((Contrats!$B$6:$B$13=$A26)*Contrats!$L$6:$L$13)-IF(AND($B26&gt;0,COUNTIF($B$6:$B26,"&gt;0")=1),Hypothèses!$B$42,0)</f>
        <v>0</v>
      </c>
      <c r="J26" s="29">
        <f>-(Hypothèses!$B$19+Hypothèses!$B$20+IF($B26&gt;0,Hypothèses!$B$40,0)+$G26*(Hypothèses!$B$34+Hypothèses!$B$43))</f>
        <v>-2588</v>
      </c>
      <c r="K26" s="29">
        <f>$G26+$E26+$H26+$I26+$J26</f>
        <v>3762</v>
      </c>
      <c r="L26" s="28">
        <f>L25+$D26+$K26</f>
        <v>39482</v>
      </c>
      <c r="M26" s="31">
        <f>SUMPRODUCT((Contrats!$C$6:$C$13="helpdesk")*($A26&gt;=Contrats!$B$6:$B$13+Hypothèses!$B$23)*Contrats!$D$6:$D$13)</f>
        <v>5</v>
      </c>
      <c r="N26" s="31">
        <f>SUMPRODUCT((Contrats!$C$6:$C$13="support")*($A26&gt;=Contrats!$B$6:$B$13+Hypothèses!$B$23)*Contrats!$D$6:$D$13)</f>
        <v>0</v>
      </c>
    </row>
    <row r="27">
      <c r="A27" s="32" t="n">
        <v>22</v>
      </c>
      <c r="B27" s="33">
        <f>$M27+$N27</f>
        <v>5</v>
      </c>
      <c r="C27" s="33">
        <f>IF($B27&lt;=Hypothèses!$B$17,0,IF($M27=0,0,CEILING($M27/Hypothèses!$B$16,1))+IF($N27=0,0,CEILING($N27/Hypothèses!$B$16,1)))</f>
        <v>0</v>
      </c>
      <c r="D27" s="34">
        <f>SUMPRODUCT((Contrats!$B$6:$B$13=$A27)*Contrats!$I$6:$I$13)</f>
        <v>0</v>
      </c>
      <c r="E27" s="34">
        <f>SUMPRODUCT((Contrats!$B$6:$B$13=$A27)*Contrats!$J$6:$J$13)</f>
        <v>0</v>
      </c>
      <c r="F27" s="34">
        <f>SUMPRODUCT(($A27&gt;=Contrats!$B$6:$B$13+Hypothèses!$B$24)*Contrats!$G$6:$G$13)-SUMPRODUCT(($A27-Contrats!$B$6:$B$13-Hypothèses!$B$24&gt;=0)*($A27-Contrats!$B$6:$B$13-Hypothèses!$B$24&lt;Hypothèses!$B$29)*Contrats!$K$6:$K$13)</f>
        <v>10000</v>
      </c>
      <c r="G27" s="34">
        <f>(SUMPRODUCT(($A27&gt;=Contrats!$B$6:$B$13+Hypothèses!$B$24+Hypothèses!$B$26)*Contrats!$G$6:$G$13)-SUMPRODUCT(($A27-Hypothèses!$B$26-Contrats!$B$6:$B$13-Hypothèses!$B$24&gt;=0)*($A27-Hypothèses!$B$26-Contrats!$B$6:$B$13-Hypothèses!$B$24&lt;Hypothèses!$B$29)*Contrats!$K$6:$K$13))*(1-Hypothèses!$B$33)</f>
        <v>10000</v>
      </c>
      <c r="H27" s="34">
        <f>-($B27*Hypothèses!$B$14+$C27*Hypothèses!$B$15)</f>
        <v>-3650</v>
      </c>
      <c r="I27" s="34">
        <f>-SUMPRODUCT((Contrats!$B$6:$B$13=$A27)*Contrats!$H$6:$H$13)-SUMPRODUCT((Contrats!$B$6:$B$13=$A27)*Contrats!$L$6:$L$13)-IF(AND($B27&gt;0,COUNTIF($B$6:$B27,"&gt;0")=1),Hypothèses!$B$42,0)</f>
        <v>0</v>
      </c>
      <c r="J27" s="34">
        <f>-(Hypothèses!$B$19+Hypothèses!$B$20+IF($B27&gt;0,Hypothèses!$B$40,0)+$G27*(Hypothèses!$B$34+Hypothèses!$B$43))</f>
        <v>-2588</v>
      </c>
      <c r="K27" s="34">
        <f>$G27+$E27+$H27+$I27+$J27</f>
        <v>3762</v>
      </c>
      <c r="L27" s="35">
        <f>L26+$D27+$K27</f>
        <v>43244</v>
      </c>
      <c r="M27" s="33">
        <f>SUMPRODUCT((Contrats!$C$6:$C$13="helpdesk")*($A27&gt;=Contrats!$B$6:$B$13+Hypothèses!$B$23)*Contrats!$D$6:$D$13)</f>
        <v>5</v>
      </c>
      <c r="N27" s="33">
        <f>SUMPRODUCT((Contrats!$C$6:$C$13="support")*($A27&gt;=Contrats!$B$6:$B$13+Hypothèses!$B$23)*Contrats!$D$6:$D$13)</f>
        <v>0</v>
      </c>
    </row>
    <row r="28">
      <c r="A28" s="30" t="n">
        <v>23</v>
      </c>
      <c r="B28" s="31">
        <f>$M28+$N28</f>
        <v>5</v>
      </c>
      <c r="C28" s="31">
        <f>IF($B28&lt;=Hypothèses!$B$17,0,IF($M28=0,0,CEILING($M28/Hypothèses!$B$16,1))+IF($N28=0,0,CEILING($N28/Hypothèses!$B$16,1)))</f>
        <v>0</v>
      </c>
      <c r="D28" s="29">
        <f>SUMPRODUCT((Contrats!$B$6:$B$13=$A28)*Contrats!$I$6:$I$13)</f>
        <v>0</v>
      </c>
      <c r="E28" s="29">
        <f>SUMPRODUCT((Contrats!$B$6:$B$13=$A28)*Contrats!$J$6:$J$13)</f>
        <v>0</v>
      </c>
      <c r="F28" s="29">
        <f>SUMPRODUCT(($A28&gt;=Contrats!$B$6:$B$13+Hypothèses!$B$24)*Contrats!$G$6:$G$13)-SUMPRODUCT(($A28-Contrats!$B$6:$B$13-Hypothèses!$B$24&gt;=0)*($A28-Contrats!$B$6:$B$13-Hypothèses!$B$24&lt;Hypothèses!$B$29)*Contrats!$K$6:$K$13)</f>
        <v>10000</v>
      </c>
      <c r="G28" s="29">
        <f>(SUMPRODUCT(($A28&gt;=Contrats!$B$6:$B$13+Hypothèses!$B$24+Hypothèses!$B$26)*Contrats!$G$6:$G$13)-SUMPRODUCT(($A28-Hypothèses!$B$26-Contrats!$B$6:$B$13-Hypothèses!$B$24&gt;=0)*($A28-Hypothèses!$B$26-Contrats!$B$6:$B$13-Hypothèses!$B$24&lt;Hypothèses!$B$29)*Contrats!$K$6:$K$13))*(1-Hypothèses!$B$33)</f>
        <v>10000</v>
      </c>
      <c r="H28" s="29">
        <f>-($B28*Hypothèses!$B$14+$C28*Hypothèses!$B$15)</f>
        <v>-3650</v>
      </c>
      <c r="I28" s="29">
        <f>-SUMPRODUCT((Contrats!$B$6:$B$13=$A28)*Contrats!$H$6:$H$13)-SUMPRODUCT((Contrats!$B$6:$B$13=$A28)*Contrats!$L$6:$L$13)-IF(AND($B28&gt;0,COUNTIF($B$6:$B28,"&gt;0")=1),Hypothèses!$B$42,0)</f>
        <v>0</v>
      </c>
      <c r="J28" s="29">
        <f>-(Hypothèses!$B$19+Hypothèses!$B$20+IF($B28&gt;0,Hypothèses!$B$40,0)+$G28*(Hypothèses!$B$34+Hypothèses!$B$43))</f>
        <v>-2588</v>
      </c>
      <c r="K28" s="29">
        <f>$G28+$E28+$H28+$I28+$J28</f>
        <v>3762</v>
      </c>
      <c r="L28" s="28">
        <f>L27+$D28+$K28</f>
        <v>47006</v>
      </c>
      <c r="M28" s="31">
        <f>SUMPRODUCT((Contrats!$C$6:$C$13="helpdesk")*($A28&gt;=Contrats!$B$6:$B$13+Hypothèses!$B$23)*Contrats!$D$6:$D$13)</f>
        <v>5</v>
      </c>
      <c r="N28" s="31">
        <f>SUMPRODUCT((Contrats!$C$6:$C$13="support")*($A28&gt;=Contrats!$B$6:$B$13+Hypothèses!$B$23)*Contrats!$D$6:$D$13)</f>
        <v>0</v>
      </c>
    </row>
    <row r="29">
      <c r="A29" s="32" t="n">
        <v>24</v>
      </c>
      <c r="B29" s="33">
        <f>$M29+$N29</f>
        <v>5</v>
      </c>
      <c r="C29" s="33">
        <f>IF($B29&lt;=Hypothèses!$B$17,0,IF($M29=0,0,CEILING($M29/Hypothèses!$B$16,1))+IF($N29=0,0,CEILING($N29/Hypothèses!$B$16,1)))</f>
        <v>0</v>
      </c>
      <c r="D29" s="34">
        <f>SUMPRODUCT((Contrats!$B$6:$B$13=$A29)*Contrats!$I$6:$I$13)</f>
        <v>0</v>
      </c>
      <c r="E29" s="34">
        <f>SUMPRODUCT((Contrats!$B$6:$B$13=$A29)*Contrats!$J$6:$J$13)</f>
        <v>0</v>
      </c>
      <c r="F29" s="34">
        <f>SUMPRODUCT(($A29&gt;=Contrats!$B$6:$B$13+Hypothèses!$B$24)*Contrats!$G$6:$G$13)-SUMPRODUCT(($A29-Contrats!$B$6:$B$13-Hypothèses!$B$24&gt;=0)*($A29-Contrats!$B$6:$B$13-Hypothèses!$B$24&lt;Hypothèses!$B$29)*Contrats!$K$6:$K$13)</f>
        <v>10000</v>
      </c>
      <c r="G29" s="34">
        <f>(SUMPRODUCT(($A29&gt;=Contrats!$B$6:$B$13+Hypothèses!$B$24+Hypothèses!$B$26)*Contrats!$G$6:$G$13)-SUMPRODUCT(($A29-Hypothèses!$B$26-Contrats!$B$6:$B$13-Hypothèses!$B$24&gt;=0)*($A29-Hypothèses!$B$26-Contrats!$B$6:$B$13-Hypothèses!$B$24&lt;Hypothèses!$B$29)*Contrats!$K$6:$K$13))*(1-Hypothèses!$B$33)</f>
        <v>10000</v>
      </c>
      <c r="H29" s="34">
        <f>-($B29*Hypothèses!$B$14+$C29*Hypothèses!$B$15)</f>
        <v>-3650</v>
      </c>
      <c r="I29" s="34">
        <f>-SUMPRODUCT((Contrats!$B$6:$B$13=$A29)*Contrats!$H$6:$H$13)-SUMPRODUCT((Contrats!$B$6:$B$13=$A29)*Contrats!$L$6:$L$13)-IF(AND($B29&gt;0,COUNTIF($B$6:$B29,"&gt;0")=1),Hypothèses!$B$42,0)</f>
        <v>0</v>
      </c>
      <c r="J29" s="34">
        <f>-(Hypothèses!$B$19+Hypothèses!$B$20+IF($B29&gt;0,Hypothèses!$B$40,0)+$G29*(Hypothèses!$B$34+Hypothèses!$B$43))</f>
        <v>-2588</v>
      </c>
      <c r="K29" s="34">
        <f>$G29+$E29+$H29+$I29+$J29</f>
        <v>3762</v>
      </c>
      <c r="L29" s="35">
        <f>L28+$D29+$K29</f>
        <v>50768</v>
      </c>
      <c r="M29" s="33">
        <f>SUMPRODUCT((Contrats!$C$6:$C$13="helpdesk")*($A29&gt;=Contrats!$B$6:$B$13+Hypothèses!$B$23)*Contrats!$D$6:$D$13)</f>
        <v>5</v>
      </c>
      <c r="N29" s="33">
        <f>SUMPRODUCT((Contrats!$C$6:$C$13="support")*($A29&gt;=Contrats!$B$6:$B$13+Hypothèses!$B$23)*Contrats!$D$6:$D$13)</f>
        <v>0</v>
      </c>
    </row>
    <row r="31" ht="30" customHeight="1">
      <c r="A31" s="12" t="inlineStr">
        <is>
          <t>Personnel, onboarding, équipement, structure et réserves sont négatifs : ce sont des sorties. La structure ne se paie qu'avec du personnel en poste ; le groupe et l'UPS sortent une fois, au premier mois avec du personnel. Le « Résultat » compte les frais d'activation, qui sont acquis, mais pas le dépôt, qui n'est qu'une avance rendue par crédit de facture — le dépôt n'apparaît que dans le cash. Les colonnes M et N (positions par métier) sont masquées : elles servent au calcul du nombre de managers, qui n'est pas mutualisé entre métiers.</t>
        </is>
      </c>
    </row>
  </sheetData>
  <mergeCells count="1">
    <mergeCell ref="A31:L3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2E3B4E"/>
    <outlinePr summaryBelow="1" summaryRight="1"/>
    <pageSetUpPr/>
  </sheetPr>
  <dimension ref="A1:E22"/>
  <sheetViews>
    <sheetView showGridLines="0" workbookViewId="0">
      <pane ySplit="5" topLeftCell="A6" activePane="bottomLeft" state="frozen"/>
      <selection pane="bottomLeft" activeCell="A1" sqref="A1"/>
    </sheetView>
  </sheetViews>
  <sheetFormatPr baseColWidth="8" defaultRowHeight="15"/>
  <cols>
    <col width="24" customWidth="1" min="1" max="1"/>
    <col width="12" customWidth="1" min="2" max="2"/>
    <col width="14" customWidth="1" min="3" max="3"/>
    <col width="16" customWidth="1" min="4" max="4"/>
    <col width="22" customWidth="1" min="5" max="5"/>
  </cols>
  <sheetData>
    <row r="1" ht="34" customHeight="1">
      <c r="C1" s="1" t="inlineStr">
        <is>
          <t>Contribution à régime plein</t>
        </is>
      </c>
    </row>
    <row r="2" ht="14" customHeight="1">
      <c r="C2" s="2" t="inlineStr">
        <is>
          <t>Tous les contrats actifs, hors onboarding, équipement, dépôt et impayés.</t>
        </is>
      </c>
    </row>
    <row r="5" ht="28" customHeight="1">
      <c r="A5" s="3" t="inlineStr">
        <is>
          <t>Contrat</t>
        </is>
      </c>
      <c r="B5" s="3" t="inlineStr">
        <is>
          <t>Positions</t>
        </is>
      </c>
      <c r="C5" s="3" t="inlineStr">
        <is>
          <t>CA mensuel</t>
        </is>
      </c>
      <c r="D5" s="3" t="inlineStr">
        <is>
          <t>Coût des agents</t>
        </is>
      </c>
      <c r="E5" s="3" t="inlineStr">
        <is>
          <t>Contribution avant supervision</t>
        </is>
      </c>
    </row>
    <row r="6">
      <c r="A6" s="36" t="str">
        <f>IF(Contrats!$D6="","",IF(Contrats!$A6="",Contrats!$C6,Contrats!$A6))</f>
        <v>Client A</v>
      </c>
      <c r="B6" s="31">
        <f>IF(Contrats!$D6="","",Contrats!$D6)</f>
        <v>3</v>
      </c>
      <c r="C6" s="29">
        <f>IF(Contrats!$D6="","",Contrats!$G6)</f>
        <v>6000</v>
      </c>
      <c r="D6" s="29">
        <f>IF(Contrats!$D6="","",-Contrats!$D6*Hypothèses!$B$14)</f>
        <v>-2190</v>
      </c>
      <c r="E6" s="28">
        <f>IF(Contrats!$D6="","",$C6+$D6)</f>
        <v>3810</v>
      </c>
    </row>
    <row r="7">
      <c r="A7" s="36" t="str">
        <f>IF(Contrats!$D7="","",IF(Contrats!$A7="",Contrats!$C7,Contrats!$A7))</f>
        <v>Client B</v>
      </c>
      <c r="B7" s="31">
        <f>IF(Contrats!$D7="","",Contrats!$D7)</f>
        <v>2</v>
      </c>
      <c r="C7" s="29">
        <f>IF(Contrats!$D7="","",Contrats!$G7)</f>
        <v>4000</v>
      </c>
      <c r="D7" s="29">
        <f>IF(Contrats!$D7="","",-Contrats!$D7*Hypothèses!$B$14)</f>
        <v>-1460</v>
      </c>
      <c r="E7" s="28">
        <f>IF(Contrats!$D7="","",$C7+$D7)</f>
        <v>2540</v>
      </c>
    </row>
    <row r="8">
      <c r="A8" s="36">
        <f>IF(Contrats!$D8="","",IF(Contrats!$A8="",Contrats!$C8,Contrats!$A8))</f>
        <v/>
      </c>
      <c r="B8" s="31">
        <f>IF(Contrats!$D8="","",Contrats!$D8)</f>
        <v/>
      </c>
      <c r="C8" s="29">
        <f>IF(Contrats!$D8="","",Contrats!$G8)</f>
        <v/>
      </c>
      <c r="D8" s="29">
        <f>IF(Contrats!$D8="","",-Contrats!$D8*Hypothèses!$B$14)</f>
        <v/>
      </c>
      <c r="E8" s="28">
        <f>IF(Contrats!$D8="","",$C8+$D8)</f>
        <v/>
      </c>
    </row>
    <row r="9">
      <c r="A9" s="36">
        <f>IF(Contrats!$D9="","",IF(Contrats!$A9="",Contrats!$C9,Contrats!$A9))</f>
        <v/>
      </c>
      <c r="B9" s="31">
        <f>IF(Contrats!$D9="","",Contrats!$D9)</f>
        <v/>
      </c>
      <c r="C9" s="29">
        <f>IF(Contrats!$D9="","",Contrats!$G9)</f>
        <v/>
      </c>
      <c r="D9" s="29">
        <f>IF(Contrats!$D9="","",-Contrats!$D9*Hypothèses!$B$14)</f>
        <v/>
      </c>
      <c r="E9" s="28">
        <f>IF(Contrats!$D9="","",$C9+$D9)</f>
        <v/>
      </c>
    </row>
    <row r="10">
      <c r="A10" s="36">
        <f>IF(Contrats!$D10="","",IF(Contrats!$A10="",Contrats!$C10,Contrats!$A10))</f>
        <v/>
      </c>
      <c r="B10" s="31">
        <f>IF(Contrats!$D10="","",Contrats!$D10)</f>
        <v/>
      </c>
      <c r="C10" s="29">
        <f>IF(Contrats!$D10="","",Contrats!$G10)</f>
        <v/>
      </c>
      <c r="D10" s="29">
        <f>IF(Contrats!$D10="","",-Contrats!$D10*Hypothèses!$B$14)</f>
        <v/>
      </c>
      <c r="E10" s="28">
        <f>IF(Contrats!$D10="","",$C10+$D10)</f>
        <v/>
      </c>
    </row>
    <row r="11">
      <c r="A11" s="36">
        <f>IF(Contrats!$D11="","",IF(Contrats!$A11="",Contrats!$C11,Contrats!$A11))</f>
        <v/>
      </c>
      <c r="B11" s="31">
        <f>IF(Contrats!$D11="","",Contrats!$D11)</f>
        <v/>
      </c>
      <c r="C11" s="29">
        <f>IF(Contrats!$D11="","",Contrats!$G11)</f>
        <v/>
      </c>
      <c r="D11" s="29">
        <f>IF(Contrats!$D11="","",-Contrats!$D11*Hypothèses!$B$14)</f>
        <v/>
      </c>
      <c r="E11" s="28">
        <f>IF(Contrats!$D11="","",$C11+$D11)</f>
        <v/>
      </c>
    </row>
    <row r="12">
      <c r="A12" s="36">
        <f>IF(Contrats!$D12="","",IF(Contrats!$A12="",Contrats!$C12,Contrats!$A12))</f>
        <v/>
      </c>
      <c r="B12" s="31">
        <f>IF(Contrats!$D12="","",Contrats!$D12)</f>
        <v/>
      </c>
      <c r="C12" s="29">
        <f>IF(Contrats!$D12="","",Contrats!$G12)</f>
        <v/>
      </c>
      <c r="D12" s="29">
        <f>IF(Contrats!$D12="","",-Contrats!$D12*Hypothèses!$B$14)</f>
        <v/>
      </c>
      <c r="E12" s="28">
        <f>IF(Contrats!$D12="","",$C12+$D12)</f>
        <v/>
      </c>
    </row>
    <row r="13">
      <c r="A13" s="36">
        <f>IF(Contrats!$D13="","",IF(Contrats!$A13="",Contrats!$C13,Contrats!$A13))</f>
        <v/>
      </c>
      <c r="B13" s="31">
        <f>IF(Contrats!$D13="","",Contrats!$D13)</f>
        <v/>
      </c>
      <c r="C13" s="29">
        <f>IF(Contrats!$D13="","",Contrats!$G13)</f>
        <v/>
      </c>
      <c r="D13" s="29">
        <f>IF(Contrats!$D13="","",-Contrats!$D13*Hypothèses!$B$14)</f>
        <v/>
      </c>
      <c r="E13" s="28">
        <f>IF(Contrats!$D13="","",$C13+$D13)</f>
        <v/>
      </c>
    </row>
    <row r="15">
      <c r="A15" s="37" t="inlineStr">
        <is>
          <t>Total des contrats</t>
        </is>
      </c>
      <c r="B15" s="38">
        <f>SUM(B6:B13)</f>
        <v>5</v>
      </c>
      <c r="C15" s="28">
        <f>SUM(C6:C13)</f>
        <v>10000</v>
      </c>
      <c r="D15" s="28">
        <f>SUM(D6:D13)</f>
        <v>-3650</v>
      </c>
      <c r="E15" s="28">
        <f>SUM(E6:E13)</f>
        <v>6350</v>
      </c>
    </row>
    <row r="16">
      <c r="A16" s="7" t="inlineStr">
        <is>
          <t>Réserves SLA, banque et change</t>
        </is>
      </c>
      <c r="E16" s="29">
        <f>-C15*(Hypothèses!$B$34+Hypothèses!$B$43)</f>
        <v>-300.0</v>
      </c>
    </row>
    <row r="17">
      <c r="A17" s="7" t="inlineStr">
        <is>
          <t>Supervision à régime plein</t>
        </is>
      </c>
      <c r="B17" s="31">
        <f>Flux!C29</f>
        <v>0</v>
      </c>
      <c r="E17" s="29">
        <f>-Flux!C29*Hypothèses!$B$15</f>
        <v>0.0</v>
      </c>
    </row>
    <row r="18">
      <c r="A18" s="7" t="inlineStr">
        <is>
          <t>Outils et charges supplémentaires</t>
        </is>
      </c>
      <c r="E18" s="29">
        <f>-(Hypothèses!$B$19+Hypothèses!$B$20)</f>
        <v>-68</v>
      </c>
    </row>
    <row r="19">
      <c r="A19" s="7" t="inlineStr">
        <is>
          <t>Structure du lancement</t>
        </is>
      </c>
      <c r="E19" s="29">
        <f>-IF(B15&gt;0,Hypothèses!$B$40,0)</f>
        <v>-2220</v>
      </c>
    </row>
    <row r="20">
      <c r="A20" s="39" t="inlineStr">
        <is>
          <t>RÉSULTAT MENSUEL À RÉGIME PLEIN</t>
        </is>
      </c>
      <c r="E20" s="40">
        <f>E15+E16+E17+E18+E19</f>
        <v>3762</v>
      </c>
    </row>
    <row r="22" ht="30" customHeight="1">
      <c r="A22" s="12" t="inlineStr">
        <is>
          <t>La supervision est comptée globalement, au nombre de managers du dernier mois : elle n'est pas répartie par contrat, parce qu'un manager déclenché par un contrat sert aussi au suivant dans le même métier. C'est le même « résultat mensuel à régime plein » que la page projection-finances-salverys.html — CA moins réserves, agents, supervision, outils et structure.</t>
        </is>
      </c>
    </row>
  </sheetData>
  <mergeCells count="1">
    <mergeCell ref="A22:E2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2026-09-24T03:59:45Z</dcterms:created>
  <dcterms:modified xsi:type="dcterms:W3CDTF">2026-09-24T03:59:46Z</dcterms:modified>
</cp:coreProperties>
</file>