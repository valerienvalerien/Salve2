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penses" sheetId="1" state="visible" r:id="rId1"/>
    <sheet name="Récap" sheetId="2" state="visible" r:id="rId2"/>
    <sheet name="Paramètres" sheetId="3" state="visible" r:id="rId3"/>
  </sheets>
  <definedNames>
    <definedName name="_xlnm._FilterDatabase" localSheetId="0" hidden="1">'Dépenses'!$A$4:$M$124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 ##0"/>
    <numFmt numFmtId="165" formatCode="# ##0.00 €"/>
    <numFmt numFmtId="166" formatCode="# ##0 &quot;Ar&quot;"/>
    <numFmt numFmtId="167" formatCode="DD/MM/YYYY"/>
    <numFmt numFmtId="168" formatCode="# ##0 €"/>
  </numFmts>
  <fonts count="10">
    <font>
      <name val="Calibri"/>
      <family val="2"/>
      <color theme="1"/>
      <sz val="11"/>
      <scheme val="minor"/>
    </font>
    <font>
      <b val="1"/>
      <color rgb="002E3B4E"/>
      <sz val="14"/>
    </font>
    <font>
      <b val="1"/>
    </font>
    <font>
      <b val="1"/>
      <color rgb="00B89968"/>
    </font>
    <font>
      <i val="1"/>
      <color rgb="006B7280"/>
      <sz val="9"/>
    </font>
    <font>
      <b val="1"/>
      <color rgb="00FFFFFF"/>
    </font>
    <font>
      <b val="1"/>
      <color rgb="00F6F2EA"/>
      <sz val="10"/>
    </font>
    <font>
      <b val="1"/>
      <color rgb="002E3B4E"/>
      <sz val="12"/>
    </font>
    <font>
      <b val="1"/>
      <color rgb="00B05C4A"/>
      <sz val="12"/>
    </font>
    <font>
      <b val="1"/>
      <color rgb="005E7F60"/>
      <sz val="12"/>
    </font>
  </fonts>
  <fills count="5">
    <fill>
      <patternFill/>
    </fill>
    <fill>
      <patternFill patternType="gray125"/>
    </fill>
    <fill>
      <patternFill patternType="solid">
        <fgColor rgb="00F6F2EA"/>
      </patternFill>
    </fill>
    <fill>
      <patternFill patternType="solid">
        <fgColor rgb="002E3B4E"/>
      </patternFill>
    </fill>
    <fill>
      <patternFill patternType="solid">
        <fgColor rgb="00FAF7F0"/>
      </patternFill>
    </fill>
  </fills>
  <borders count="2">
    <border>
      <left/>
      <right/>
      <top/>
      <bottom/>
      <diagonal/>
    </border>
    <border>
      <left style="thin">
        <color rgb="00D9D4C9"/>
      </left>
      <right style="thin">
        <color rgb="00D9D4C9"/>
      </right>
      <top style="thin">
        <color rgb="00D9D4C9"/>
      </top>
      <bottom style="thin">
        <color rgb="00D9D4C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0" fontId="0" fillId="4" borderId="1" pivotButton="0" quotePrefix="0" xfId="0"/>
    <xf numFmtId="165" fontId="0" fillId="4" borderId="1" pivotButton="0" quotePrefix="0" xfId="0"/>
    <xf numFmtId="166" fontId="0" fillId="4" borderId="1" pivotButton="0" quotePrefix="0" xfId="0"/>
    <xf numFmtId="167" fontId="0" fillId="4" borderId="1" pivotButton="0" quotePrefix="0" xfId="0"/>
    <xf numFmtId="0" fontId="2" fillId="0" borderId="0" pivotButton="0" quotePrefix="0" xfId="0"/>
    <xf numFmtId="168" fontId="7" fillId="2" borderId="0" pivotButton="0" quotePrefix="0" xfId="0"/>
    <xf numFmtId="166" fontId="7" fillId="2" borderId="0" pivotButton="0" quotePrefix="0" xfId="0"/>
    <xf numFmtId="168" fontId="8" fillId="2" borderId="0" pivotButton="0" quotePrefix="0" xfId="0"/>
    <xf numFmtId="168" fontId="9" fillId="2" borderId="0" pivotButton="0" quotePrefix="0" xfId="0"/>
    <xf numFmtId="0" fontId="5" fillId="3" borderId="0" pivotButton="0" quotePrefix="0" xfId="0"/>
    <xf numFmtId="168" fontId="0" fillId="0" borderId="0" pivotButton="0" quotePrefix="0" xfId="0"/>
    <xf numFmtId="168" fontId="3" fillId="0" borderId="0" pivotButton="0" quotePrefix="0" xfId="0"/>
    <xf numFmtId="164" fontId="3" fillId="2" borderId="0" pivotButton="0" quotePrefix="0" xfId="0"/>
  </cellXfs>
  <cellStyles count="1">
    <cellStyle name="Normal" xfId="0" builtinId="0" hidden="0"/>
  </cellStyles>
  <dxfs count="2">
    <dxf>
      <font>
        <b val="1"/>
        <color rgb="005E7F60"/>
      </font>
      <fill>
        <patternFill patternType="solid">
          <fgColor rgb="00E3EBE3"/>
        </patternFill>
      </fill>
    </dxf>
    <dxf>
      <font>
        <b val="1"/>
        <color rgb="00B05C4A"/>
      </font>
      <fill>
        <patternFill patternType="solid">
          <fgColor rgb="00F5E3D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38" customWidth="1" min="3" max="3"/>
    <col width="12" customWidth="1" min="4" max="4"/>
    <col width="12" customWidth="1" min="5" max="5"/>
    <col width="16" customWidth="1" min="6" max="6"/>
    <col width="15" customWidth="1" min="7" max="7"/>
    <col width="28" customWidth="1" min="8" max="8"/>
    <col width="10" customWidth="1" min="9" max="9"/>
    <col width="17" customWidth="1" min="10" max="10"/>
    <col width="15" customWidth="1" min="11" max="11"/>
    <col width="17" customWidth="1" min="12" max="12"/>
    <col width="34" customWidth="1" min="13" max="13"/>
  </cols>
  <sheetData>
    <row r="1">
      <c r="A1" s="1" t="inlineStr">
        <is>
          <t>Comptabilité Salverys — registre des coûts</t>
        </is>
      </c>
    </row>
    <row r="2">
      <c r="A2" s="2" t="inlineStr">
        <is>
          <t>Une ligne = un coût. Périodicité Mensuel/Annuel/Ponctuel · Statut Payé/À payer · taux Ar dans la feuille Paramètres.</t>
        </is>
      </c>
    </row>
    <row r="4" ht="30" customHeight="1">
      <c r="A4" s="3" t="inlineStr">
        <is>
          <t>Fournisseur / Outil</t>
        </is>
      </c>
      <c r="B4" s="3" t="inlineStr">
        <is>
          <t>Catégorie</t>
        </is>
      </c>
      <c r="C4" s="3" t="inlineStr">
        <is>
          <t>Description</t>
        </is>
      </c>
      <c r="D4" s="3" t="inlineStr">
        <is>
          <t>Périodicité</t>
        </is>
      </c>
      <c r="E4" s="3" t="inlineStr">
        <is>
          <t>Montant (€)</t>
        </is>
      </c>
      <c r="F4" s="3" t="inlineStr">
        <is>
          <t>Équiv. mensuel (€)</t>
        </is>
      </c>
      <c r="G4" s="3" t="inlineStr">
        <is>
          <t>Équivalent (Ar)</t>
        </is>
      </c>
      <c r="H4" s="3" t="inlineStr">
        <is>
          <t>Compte / email utilisé</t>
        </is>
      </c>
      <c r="I4" s="3" t="inlineStr">
        <is>
          <t>Statut</t>
        </is>
      </c>
      <c r="J4" s="3" t="inlineStr">
        <is>
          <t>Prochaine échéance</t>
        </is>
      </c>
      <c r="K4" s="3" t="inlineStr">
        <is>
          <t>Date de paiement</t>
        </is>
      </c>
      <c r="L4" s="3" t="inlineStr">
        <is>
          <t>Moyen de paiement</t>
        </is>
      </c>
      <c r="M4" s="3" t="inlineStr">
        <is>
          <t>Notes</t>
        </is>
      </c>
    </row>
    <row r="5">
      <c r="A5" s="4" t="inlineStr">
        <is>
          <t>Emelia</t>
        </is>
      </c>
      <c r="B5" s="4" t="inlineStr">
        <is>
          <t>Marketing</t>
        </is>
      </c>
      <c r="C5" s="4" t="inlineStr">
        <is>
          <t>Cold mailing — plan avec warm-up auto</t>
        </is>
      </c>
      <c r="D5" s="4" t="inlineStr">
        <is>
          <t>Mensuel</t>
        </is>
      </c>
      <c r="E5" s="5" t="n">
        <v>99</v>
      </c>
      <c r="F5" s="5">
        <f>IF(OR($E5="",$D5=""),"",IF($D5="Mensuel",$E5,IF($D5="Annuel",$E5/12,"")))</f>
        <v/>
      </c>
      <c r="G5" s="6">
        <f>IF($E5="","",$E5*'Paramètres'!$B$3)</f>
        <v/>
      </c>
      <c r="H5" s="4" t="inlineStr"/>
      <c r="I5" s="4" t="inlineStr">
        <is>
          <t>À payer</t>
        </is>
      </c>
      <c r="J5" s="7" t="n"/>
      <c r="K5" s="7" t="n"/>
      <c r="L5" s="4" t="inlineStr">
        <is>
          <t>CB</t>
        </is>
      </c>
      <c r="M5" s="4" t="inlineStr">
        <is>
          <t>Outil outreach retenu</t>
        </is>
      </c>
    </row>
    <row r="6">
      <c r="A6" s="8" t="inlineStr">
        <is>
          <t>CloudTalk</t>
        </is>
      </c>
      <c r="B6" s="8" t="inlineStr">
        <is>
          <t>Téléphonie</t>
        </is>
      </c>
      <c r="C6" s="8" t="inlineStr">
        <is>
          <t>Essential — numéro +33, par utilisateur</t>
        </is>
      </c>
      <c r="D6" s="8" t="inlineStr">
        <is>
          <t>Mensuel</t>
        </is>
      </c>
      <c r="E6" s="9" t="n">
        <v>29</v>
      </c>
      <c r="F6" s="9">
        <f>IF(OR($E6="",$D6=""),"",IF($D6="Mensuel",$E6,IF($D6="Annuel",$E6/12,"")))</f>
        <v/>
      </c>
      <c r="G6" s="10">
        <f>IF($E6="","",$E6*'Paramètres'!$B$3)</f>
        <v/>
      </c>
      <c r="H6" s="8" t="inlineStr"/>
      <c r="I6" s="8" t="inlineStr">
        <is>
          <t>À payer</t>
        </is>
      </c>
      <c r="J6" s="11" t="n"/>
      <c r="K6" s="11" t="n"/>
      <c r="L6" s="8" t="inlineStr">
        <is>
          <t>CB</t>
        </is>
      </c>
      <c r="M6" s="8" t="inlineStr">
        <is>
          <t>× nb d'utilisateurs (méd.)</t>
        </is>
      </c>
    </row>
    <row r="7">
      <c r="A7" s="4" t="inlineStr">
        <is>
          <t>Microsoft 365</t>
        </is>
      </c>
      <c r="B7" s="4" t="inlineStr">
        <is>
          <t>SaaS &amp; outils</t>
        </is>
      </c>
      <c r="C7" s="4" t="inlineStr">
        <is>
          <t>Business Basic + Teams (salverys.fr)</t>
        </is>
      </c>
      <c r="D7" s="4" t="inlineStr">
        <is>
          <t>Mensuel</t>
        </is>
      </c>
      <c r="E7" s="5" t="n">
        <v>6</v>
      </c>
      <c r="F7" s="5">
        <f>IF(OR($E7="",$D7=""),"",IF($D7="Mensuel",$E7,IF($D7="Annuel",$E7/12,"")))</f>
        <v/>
      </c>
      <c r="G7" s="6">
        <f>IF($E7="","",$E7*'Paramètres'!$B$3)</f>
        <v/>
      </c>
      <c r="H7" s="4" t="inlineStr"/>
      <c r="I7" s="4" t="inlineStr">
        <is>
          <t>À payer</t>
        </is>
      </c>
      <c r="J7" s="7" t="n"/>
      <c r="K7" s="7" t="n"/>
      <c r="L7" s="4" t="inlineStr">
        <is>
          <t>CB</t>
        </is>
      </c>
      <c r="M7" s="4" t="inlineStr">
        <is>
          <t>par licence</t>
        </is>
      </c>
    </row>
    <row r="8">
      <c r="A8" s="8" t="inlineStr">
        <is>
          <t>Google Workspace</t>
        </is>
      </c>
      <c r="B8" s="8" t="inlineStr">
        <is>
          <t>SaaS &amp; outils</t>
        </is>
      </c>
      <c r="C8" s="8" t="inlineStr">
        <is>
          <t>Licence mailing (inbox cold email)</t>
        </is>
      </c>
      <c r="D8" s="8" t="inlineStr">
        <is>
          <t>Mensuel</t>
        </is>
      </c>
      <c r="E8" s="9" t="n">
        <v>10</v>
      </c>
      <c r="F8" s="9">
        <f>IF(OR($E8="",$D8=""),"",IF($D8="Mensuel",$E8,IF($D8="Annuel",$E8/12,"")))</f>
        <v/>
      </c>
      <c r="G8" s="10">
        <f>IF($E8="","",$E8*'Paramètres'!$B$3)</f>
        <v/>
      </c>
      <c r="H8" s="8" t="inlineStr"/>
      <c r="I8" s="8" t="inlineStr">
        <is>
          <t>À payer</t>
        </is>
      </c>
      <c r="J8" s="11" t="n"/>
      <c r="K8" s="11" t="n"/>
      <c r="L8" s="8" t="inlineStr">
        <is>
          <t>CB</t>
        </is>
      </c>
      <c r="M8" s="8" t="inlineStr">
        <is>
          <t>par licence</t>
        </is>
      </c>
    </row>
    <row r="9">
      <c r="A9" s="4" t="inlineStr">
        <is>
          <t>OVH</t>
        </is>
      </c>
      <c r="B9" s="4" t="inlineStr">
        <is>
          <t>Domaines &amp; hébergement</t>
        </is>
      </c>
      <c r="C9" s="4" t="inlineStr">
        <is>
          <t>Domaine salverys.fr + sous-domaines</t>
        </is>
      </c>
      <c r="D9" s="4" t="inlineStr">
        <is>
          <t>Annuel</t>
        </is>
      </c>
      <c r="E9" s="5" t="n">
        <v>12</v>
      </c>
      <c r="F9" s="5">
        <f>IF(OR($E9="",$D9=""),"",IF($D9="Mensuel",$E9,IF($D9="Annuel",$E9/12,"")))</f>
        <v/>
      </c>
      <c r="G9" s="6">
        <f>IF($E9="","",$E9*'Paramètres'!$B$3)</f>
        <v/>
      </c>
      <c r="H9" s="4" t="inlineStr"/>
      <c r="I9" s="4" t="inlineStr">
        <is>
          <t>À payer</t>
        </is>
      </c>
      <c r="J9" s="7" t="n"/>
      <c r="K9" s="7" t="n"/>
      <c r="L9" s="4" t="inlineStr">
        <is>
          <t>CB</t>
        </is>
      </c>
      <c r="M9" s="4" t="inlineStr">
        <is>
          <t>≈ 1 €/mois</t>
        </is>
      </c>
    </row>
    <row r="10">
      <c r="A10" s="8" t="inlineStr">
        <is>
          <t>OVH</t>
        </is>
      </c>
      <c r="B10" s="8" t="inlineStr">
        <is>
          <t>Domaines &amp; hébergement</t>
        </is>
      </c>
      <c r="C10" s="8" t="inlineStr">
        <is>
          <t>Domaine cold email salverys-bpo.fr</t>
        </is>
      </c>
      <c r="D10" s="8" t="inlineStr">
        <is>
          <t>Annuel</t>
        </is>
      </c>
      <c r="E10" s="9" t="n">
        <v>12</v>
      </c>
      <c r="F10" s="9">
        <f>IF(OR($E10="",$D10=""),"",IF($D10="Mensuel",$E10,IF($D10="Annuel",$E10/12,"")))</f>
        <v/>
      </c>
      <c r="G10" s="10">
        <f>IF($E10="","",$E10*'Paramètres'!$B$3)</f>
        <v/>
      </c>
      <c r="H10" s="8" t="inlineStr"/>
      <c r="I10" s="8" t="inlineStr">
        <is>
          <t>À payer</t>
        </is>
      </c>
      <c r="J10" s="11" t="n"/>
      <c r="K10" s="11" t="n"/>
      <c r="L10" s="8" t="inlineStr">
        <is>
          <t>CB</t>
        </is>
      </c>
      <c r="M10" s="8" t="inlineStr">
        <is>
          <t>domaine isolé outreach</t>
        </is>
      </c>
    </row>
    <row r="11">
      <c r="A11" s="4" t="inlineStr">
        <is>
          <t>HubSpot</t>
        </is>
      </c>
      <c r="B11" s="4" t="inlineStr">
        <is>
          <t>SaaS &amp; outils</t>
        </is>
      </c>
      <c r="C11" s="4" t="inlineStr">
        <is>
          <t>CRM commercial — plan Free</t>
        </is>
      </c>
      <c r="D11" s="4" t="inlineStr">
        <is>
          <t>Mensuel</t>
        </is>
      </c>
      <c r="E11" s="5" t="n">
        <v>0</v>
      </c>
      <c r="F11" s="5">
        <f>IF(OR($E11="",$D11=""),"",IF($D11="Mensuel",$E11,IF($D11="Annuel",$E11/12,"")))</f>
        <v/>
      </c>
      <c r="G11" s="6">
        <f>IF($E11="","",$E11*'Paramètres'!$B$3)</f>
        <v/>
      </c>
      <c r="H11" s="4" t="inlineStr"/>
      <c r="I11" s="4" t="inlineStr">
        <is>
          <t>Payé</t>
        </is>
      </c>
      <c r="J11" s="7" t="n"/>
      <c r="K11" s="7" t="n"/>
      <c r="L11" s="4" t="inlineStr">
        <is>
          <t>Autre</t>
        </is>
      </c>
      <c r="M11" s="4" t="inlineStr">
        <is>
          <t>0 € — décision tranchée</t>
        </is>
      </c>
    </row>
    <row r="12">
      <c r="A12" s="8" t="inlineStr">
        <is>
          <t>Netlify</t>
        </is>
      </c>
      <c r="B12" s="8" t="inlineStr">
        <is>
          <t>Domaines &amp; hébergement</t>
        </is>
      </c>
      <c r="C12" s="8" t="inlineStr">
        <is>
          <t>Hébergement site — plan Free</t>
        </is>
      </c>
      <c r="D12" s="8" t="inlineStr">
        <is>
          <t>Mensuel</t>
        </is>
      </c>
      <c r="E12" s="9" t="n">
        <v>0</v>
      </c>
      <c r="F12" s="9">
        <f>IF(OR($E12="",$D12=""),"",IF($D12="Mensuel",$E12,IF($D12="Annuel",$E12/12,"")))</f>
        <v/>
      </c>
      <c r="G12" s="10">
        <f>IF($E12="","",$E12*'Paramètres'!$B$3)</f>
        <v/>
      </c>
      <c r="H12" s="8" t="inlineStr"/>
      <c r="I12" s="8" t="inlineStr">
        <is>
          <t>Payé</t>
        </is>
      </c>
      <c r="J12" s="11" t="n"/>
      <c r="K12" s="11" t="n"/>
      <c r="L12" s="8" t="inlineStr">
        <is>
          <t>Autre</t>
        </is>
      </c>
      <c r="M12" s="8" t="inlineStr"/>
    </row>
    <row r="13">
      <c r="A13" s="4" t="inlineStr">
        <is>
          <t>GitHub</t>
        </is>
      </c>
      <c r="B13" s="4" t="inlineStr">
        <is>
          <t>SaaS &amp; outils</t>
        </is>
      </c>
      <c r="C13" s="4" t="inlineStr">
        <is>
          <t>Repo Salve2 — plan Free</t>
        </is>
      </c>
      <c r="D13" s="4" t="inlineStr">
        <is>
          <t>Mensuel</t>
        </is>
      </c>
      <c r="E13" s="5" t="n">
        <v>0</v>
      </c>
      <c r="F13" s="5">
        <f>IF(OR($E13="",$D13=""),"",IF($D13="Mensuel",$E13,IF($D13="Annuel",$E13/12,"")))</f>
        <v/>
      </c>
      <c r="G13" s="6">
        <f>IF($E13="","",$E13*'Paramètres'!$B$3)</f>
        <v/>
      </c>
      <c r="H13" s="4" t="inlineStr"/>
      <c r="I13" s="4" t="inlineStr">
        <is>
          <t>Payé</t>
        </is>
      </c>
      <c r="J13" s="7" t="n"/>
      <c r="K13" s="7" t="n"/>
      <c r="L13" s="4" t="inlineStr">
        <is>
          <t>Autre</t>
        </is>
      </c>
      <c r="M13" s="4" t="inlineStr"/>
    </row>
    <row r="14">
      <c r="A14" s="8" t="inlineStr">
        <is>
          <t>Anthropic / Claude</t>
        </is>
      </c>
      <c r="B14" s="8" t="inlineStr">
        <is>
          <t>SaaS &amp; outils</t>
        </is>
      </c>
      <c r="C14" s="8" t="inlineStr">
        <is>
          <t>Abonnement Claude (dev &amp; assets)</t>
        </is>
      </c>
      <c r="D14" s="8" t="inlineStr">
        <is>
          <t>Mensuel</t>
        </is>
      </c>
      <c r="E14" s="9" t="n"/>
      <c r="F14" s="9">
        <f>IF(OR($E14="",$D14=""),"",IF($D14="Mensuel",$E14,IF($D14="Annuel",$E14/12,"")))</f>
        <v/>
      </c>
      <c r="G14" s="10">
        <f>IF($E14="","",$E14*'Paramètres'!$B$3)</f>
        <v/>
      </c>
      <c r="H14" s="8" t="inlineStr"/>
      <c r="I14" s="8" t="inlineStr">
        <is>
          <t>À payer</t>
        </is>
      </c>
      <c r="J14" s="11" t="n"/>
      <c r="K14" s="11" t="n"/>
      <c r="L14" s="8" t="inlineStr">
        <is>
          <t>CB</t>
        </is>
      </c>
      <c r="M14" s="8" t="inlineStr">
        <is>
          <t>montant selon plan</t>
        </is>
      </c>
    </row>
    <row r="15">
      <c r="A15" s="4" t="inlineStr">
        <is>
          <t>Freelance agent</t>
        </is>
      </c>
      <c r="B15" s="4" t="inlineStr">
        <is>
          <t>Salaires freelances</t>
        </is>
      </c>
      <c r="C15" s="4" t="inlineStr">
        <is>
          <t>Agent (3 250 000 Ar ≈ 650 €)</t>
        </is>
      </c>
      <c r="D15" s="4" t="inlineStr">
        <is>
          <t>Mensuel</t>
        </is>
      </c>
      <c r="E15" s="5" t="n">
        <v>650</v>
      </c>
      <c r="F15" s="5">
        <f>IF(OR($E15="",$D15=""),"",IF($D15="Mensuel",$E15,IF($D15="Annuel",$E15/12,"")))</f>
        <v/>
      </c>
      <c r="G15" s="6">
        <f>IF($E15="","",$E15*'Paramètres'!$B$3)</f>
        <v/>
      </c>
      <c r="H15" s="4" t="inlineStr"/>
      <c r="I15" s="4" t="inlineStr">
        <is>
          <t>À payer</t>
        </is>
      </c>
      <c r="J15" s="7" t="n"/>
      <c r="K15" s="7" t="n"/>
      <c r="L15" s="4" t="inlineStr">
        <is>
          <t>Wise</t>
        </is>
      </c>
      <c r="M15" s="4" t="inlineStr">
        <is>
          <t>1 ligne par agent</t>
        </is>
      </c>
    </row>
    <row r="16">
      <c r="A16" s="8" t="inlineStr">
        <is>
          <t>Freelance manager</t>
        </is>
      </c>
      <c r="B16" s="8" t="inlineStr">
        <is>
          <t>Salaires freelances</t>
        </is>
      </c>
      <c r="C16" s="8" t="inlineStr">
        <is>
          <t>Manager méd. ou IT (3 250 000 Ar)</t>
        </is>
      </c>
      <c r="D16" s="8" t="inlineStr">
        <is>
          <t>Mensuel</t>
        </is>
      </c>
      <c r="E16" s="9" t="n">
        <v>650</v>
      </c>
      <c r="F16" s="9">
        <f>IF(OR($E16="",$D16=""),"",IF($D16="Mensuel",$E16,IF($D16="Annuel",$E16/12,"")))</f>
        <v/>
      </c>
      <c r="G16" s="10">
        <f>IF($E16="","",$E16*'Paramètres'!$B$3)</f>
        <v/>
      </c>
      <c r="H16" s="8" t="inlineStr"/>
      <c r="I16" s="8" t="inlineStr">
        <is>
          <t>À payer</t>
        </is>
      </c>
      <c r="J16" s="11" t="n"/>
      <c r="K16" s="11" t="n"/>
      <c r="L16" s="8" t="inlineStr">
        <is>
          <t>Wise</t>
        </is>
      </c>
      <c r="M16" s="8" t="inlineStr">
        <is>
          <t>1 ligne par manager</t>
        </is>
      </c>
    </row>
    <row r="17">
      <c r="A17" s="4" t="inlineStr">
        <is>
          <t>Wise Business</t>
        </is>
      </c>
      <c r="B17" s="4" t="inlineStr">
        <is>
          <t>Banque &amp; frais</t>
        </is>
      </c>
      <c r="C17" s="4" t="inlineStr">
        <is>
          <t>Frais de change / virement EUR→MGA</t>
        </is>
      </c>
      <c r="D17" s="4" t="inlineStr">
        <is>
          <t>Mensuel</t>
        </is>
      </c>
      <c r="E17" s="5" t="n"/>
      <c r="F17" s="5">
        <f>IF(OR($E17="",$D17=""),"",IF($D17="Mensuel",$E17,IF($D17="Annuel",$E17/12,"")))</f>
        <v/>
      </c>
      <c r="G17" s="6">
        <f>IF($E17="","",$E17*'Paramètres'!$B$3)</f>
        <v/>
      </c>
      <c r="H17" s="4" t="inlineStr"/>
      <c r="I17" s="4" t="inlineStr">
        <is>
          <t>À payer</t>
        </is>
      </c>
      <c r="J17" s="7" t="n"/>
      <c r="K17" s="7" t="n"/>
      <c r="L17" s="4" t="inlineStr">
        <is>
          <t>Wise</t>
        </is>
      </c>
      <c r="M17" s="4" t="inlineStr">
        <is>
          <t>variable selon volumes</t>
        </is>
      </c>
    </row>
    <row r="18">
      <c r="A18" s="8" t="inlineStr">
        <is>
          <t>VJUS</t>
        </is>
      </c>
      <c r="B18" s="8" t="inlineStr">
        <is>
          <t>Administratif &amp; légal</t>
        </is>
      </c>
      <c r="C18" s="8" t="inlineStr">
        <is>
          <t>Création société malgache (setup)</t>
        </is>
      </c>
      <c r="D18" s="8" t="inlineStr">
        <is>
          <t>Ponctuel</t>
        </is>
      </c>
      <c r="E18" s="9" t="n"/>
      <c r="F18" s="9">
        <f>IF(OR($E18="",$D18=""),"",IF($D18="Mensuel",$E18,IF($D18="Annuel",$E18/12,"")))</f>
        <v/>
      </c>
      <c r="G18" s="10">
        <f>IF($E18="","",$E18*'Paramètres'!$B$3)</f>
        <v/>
      </c>
      <c r="H18" s="8" t="inlineStr"/>
      <c r="I18" s="8" t="inlineStr">
        <is>
          <t>À payer</t>
        </is>
      </c>
      <c r="J18" s="11" t="n"/>
      <c r="K18" s="11" t="n"/>
      <c r="L18" s="8" t="inlineStr">
        <is>
          <t>Virement</t>
        </is>
      </c>
      <c r="M18" s="8" t="inlineStr">
        <is>
          <t>formalités</t>
        </is>
      </c>
    </row>
    <row r="19">
      <c r="A19" s="4" t="n"/>
      <c r="B19" s="4" t="n"/>
      <c r="C19" s="4" t="n"/>
      <c r="D19" s="4" t="n"/>
      <c r="E19" s="5" t="n"/>
      <c r="F19" s="5">
        <f>IF(OR($E19="",$D19=""),"",IF($D19="Mensuel",$E19,IF($D19="Annuel",$E19/12,"")))</f>
        <v/>
      </c>
      <c r="G19" s="6">
        <f>IF($E19="","",$E19*'Paramètres'!$B$3)</f>
        <v/>
      </c>
      <c r="H19" s="4" t="n"/>
      <c r="I19" s="4" t="n"/>
      <c r="J19" s="7" t="n"/>
      <c r="K19" s="7" t="n"/>
      <c r="L19" s="4" t="n"/>
      <c r="M19" s="4" t="n"/>
    </row>
    <row r="20">
      <c r="A20" s="8" t="n"/>
      <c r="B20" s="8" t="n"/>
      <c r="C20" s="8" t="n"/>
      <c r="D20" s="8" t="n"/>
      <c r="E20" s="9" t="n"/>
      <c r="F20" s="9">
        <f>IF(OR($E20="",$D20=""),"",IF($D20="Mensuel",$E20,IF($D20="Annuel",$E20/12,"")))</f>
        <v/>
      </c>
      <c r="G20" s="10">
        <f>IF($E20="","",$E20*'Paramètres'!$B$3)</f>
        <v/>
      </c>
      <c r="H20" s="8" t="n"/>
      <c r="I20" s="8" t="n"/>
      <c r="J20" s="11" t="n"/>
      <c r="K20" s="11" t="n"/>
      <c r="L20" s="8" t="n"/>
      <c r="M20" s="8" t="n"/>
    </row>
    <row r="21">
      <c r="A21" s="4" t="n"/>
      <c r="B21" s="4" t="n"/>
      <c r="C21" s="4" t="n"/>
      <c r="D21" s="4" t="n"/>
      <c r="E21" s="5" t="n"/>
      <c r="F21" s="5">
        <f>IF(OR($E21="",$D21=""),"",IF($D21="Mensuel",$E21,IF($D21="Annuel",$E21/12,"")))</f>
        <v/>
      </c>
      <c r="G21" s="6">
        <f>IF($E21="","",$E21*'Paramètres'!$B$3)</f>
        <v/>
      </c>
      <c r="H21" s="4" t="n"/>
      <c r="I21" s="4" t="n"/>
      <c r="J21" s="7" t="n"/>
      <c r="K21" s="7" t="n"/>
      <c r="L21" s="4" t="n"/>
      <c r="M21" s="4" t="n"/>
    </row>
    <row r="22">
      <c r="A22" s="8" t="n"/>
      <c r="B22" s="8" t="n"/>
      <c r="C22" s="8" t="n"/>
      <c r="D22" s="8" t="n"/>
      <c r="E22" s="9" t="n"/>
      <c r="F22" s="9">
        <f>IF(OR($E22="",$D22=""),"",IF($D22="Mensuel",$E22,IF($D22="Annuel",$E22/12,"")))</f>
        <v/>
      </c>
      <c r="G22" s="10">
        <f>IF($E22="","",$E22*'Paramètres'!$B$3)</f>
        <v/>
      </c>
      <c r="H22" s="8" t="n"/>
      <c r="I22" s="8" t="n"/>
      <c r="J22" s="11" t="n"/>
      <c r="K22" s="11" t="n"/>
      <c r="L22" s="8" t="n"/>
      <c r="M22" s="8" t="n"/>
    </row>
    <row r="23">
      <c r="A23" s="4" t="n"/>
      <c r="B23" s="4" t="n"/>
      <c r="C23" s="4" t="n"/>
      <c r="D23" s="4" t="n"/>
      <c r="E23" s="5" t="n"/>
      <c r="F23" s="5">
        <f>IF(OR($E23="",$D23=""),"",IF($D23="Mensuel",$E23,IF($D23="Annuel",$E23/12,"")))</f>
        <v/>
      </c>
      <c r="G23" s="6">
        <f>IF($E23="","",$E23*'Paramètres'!$B$3)</f>
        <v/>
      </c>
      <c r="H23" s="4" t="n"/>
      <c r="I23" s="4" t="n"/>
      <c r="J23" s="7" t="n"/>
      <c r="K23" s="7" t="n"/>
      <c r="L23" s="4" t="n"/>
      <c r="M23" s="4" t="n"/>
    </row>
    <row r="24">
      <c r="A24" s="8" t="n"/>
      <c r="B24" s="8" t="n"/>
      <c r="C24" s="8" t="n"/>
      <c r="D24" s="8" t="n"/>
      <c r="E24" s="9" t="n"/>
      <c r="F24" s="9">
        <f>IF(OR($E24="",$D24=""),"",IF($D24="Mensuel",$E24,IF($D24="Annuel",$E24/12,"")))</f>
        <v/>
      </c>
      <c r="G24" s="10">
        <f>IF($E24="","",$E24*'Paramètres'!$B$3)</f>
        <v/>
      </c>
      <c r="H24" s="8" t="n"/>
      <c r="I24" s="8" t="n"/>
      <c r="J24" s="11" t="n"/>
      <c r="K24" s="11" t="n"/>
      <c r="L24" s="8" t="n"/>
      <c r="M24" s="8" t="n"/>
    </row>
    <row r="25">
      <c r="A25" s="4" t="n"/>
      <c r="B25" s="4" t="n"/>
      <c r="C25" s="4" t="n"/>
      <c r="D25" s="4" t="n"/>
      <c r="E25" s="5" t="n"/>
      <c r="F25" s="5">
        <f>IF(OR($E25="",$D25=""),"",IF($D25="Mensuel",$E25,IF($D25="Annuel",$E25/12,"")))</f>
        <v/>
      </c>
      <c r="G25" s="6">
        <f>IF($E25="","",$E25*'Paramètres'!$B$3)</f>
        <v/>
      </c>
      <c r="H25" s="4" t="n"/>
      <c r="I25" s="4" t="n"/>
      <c r="J25" s="7" t="n"/>
      <c r="K25" s="7" t="n"/>
      <c r="L25" s="4" t="n"/>
      <c r="M25" s="4" t="n"/>
    </row>
    <row r="26">
      <c r="A26" s="8" t="n"/>
      <c r="B26" s="8" t="n"/>
      <c r="C26" s="8" t="n"/>
      <c r="D26" s="8" t="n"/>
      <c r="E26" s="9" t="n"/>
      <c r="F26" s="9">
        <f>IF(OR($E26="",$D26=""),"",IF($D26="Mensuel",$E26,IF($D26="Annuel",$E26/12,"")))</f>
        <v/>
      </c>
      <c r="G26" s="10">
        <f>IF($E26="","",$E26*'Paramètres'!$B$3)</f>
        <v/>
      </c>
      <c r="H26" s="8" t="n"/>
      <c r="I26" s="8" t="n"/>
      <c r="J26" s="11" t="n"/>
      <c r="K26" s="11" t="n"/>
      <c r="L26" s="8" t="n"/>
      <c r="M26" s="8" t="n"/>
    </row>
    <row r="27">
      <c r="A27" s="4" t="n"/>
      <c r="B27" s="4" t="n"/>
      <c r="C27" s="4" t="n"/>
      <c r="D27" s="4" t="n"/>
      <c r="E27" s="5" t="n"/>
      <c r="F27" s="5">
        <f>IF(OR($E27="",$D27=""),"",IF($D27="Mensuel",$E27,IF($D27="Annuel",$E27/12,"")))</f>
        <v/>
      </c>
      <c r="G27" s="6">
        <f>IF($E27="","",$E27*'Paramètres'!$B$3)</f>
        <v/>
      </c>
      <c r="H27" s="4" t="n"/>
      <c r="I27" s="4" t="n"/>
      <c r="J27" s="7" t="n"/>
      <c r="K27" s="7" t="n"/>
      <c r="L27" s="4" t="n"/>
      <c r="M27" s="4" t="n"/>
    </row>
    <row r="28">
      <c r="A28" s="8" t="n"/>
      <c r="B28" s="8" t="n"/>
      <c r="C28" s="8" t="n"/>
      <c r="D28" s="8" t="n"/>
      <c r="E28" s="9" t="n"/>
      <c r="F28" s="9">
        <f>IF(OR($E28="",$D28=""),"",IF($D28="Mensuel",$E28,IF($D28="Annuel",$E28/12,"")))</f>
        <v/>
      </c>
      <c r="G28" s="10">
        <f>IF($E28="","",$E28*'Paramètres'!$B$3)</f>
        <v/>
      </c>
      <c r="H28" s="8" t="n"/>
      <c r="I28" s="8" t="n"/>
      <c r="J28" s="11" t="n"/>
      <c r="K28" s="11" t="n"/>
      <c r="L28" s="8" t="n"/>
      <c r="M28" s="8" t="n"/>
    </row>
    <row r="29">
      <c r="A29" s="4" t="n"/>
      <c r="B29" s="4" t="n"/>
      <c r="C29" s="4" t="n"/>
      <c r="D29" s="4" t="n"/>
      <c r="E29" s="5" t="n"/>
      <c r="F29" s="5">
        <f>IF(OR($E29="",$D29=""),"",IF($D29="Mensuel",$E29,IF($D29="Annuel",$E29/12,"")))</f>
        <v/>
      </c>
      <c r="G29" s="6">
        <f>IF($E29="","",$E29*'Paramètres'!$B$3)</f>
        <v/>
      </c>
      <c r="H29" s="4" t="n"/>
      <c r="I29" s="4" t="n"/>
      <c r="J29" s="7" t="n"/>
      <c r="K29" s="7" t="n"/>
      <c r="L29" s="4" t="n"/>
      <c r="M29" s="4" t="n"/>
    </row>
    <row r="30">
      <c r="A30" s="8" t="n"/>
      <c r="B30" s="8" t="n"/>
      <c r="C30" s="8" t="n"/>
      <c r="D30" s="8" t="n"/>
      <c r="E30" s="9" t="n"/>
      <c r="F30" s="9">
        <f>IF(OR($E30="",$D30=""),"",IF($D30="Mensuel",$E30,IF($D30="Annuel",$E30/12,"")))</f>
        <v/>
      </c>
      <c r="G30" s="10">
        <f>IF($E30="","",$E30*'Paramètres'!$B$3)</f>
        <v/>
      </c>
      <c r="H30" s="8" t="n"/>
      <c r="I30" s="8" t="n"/>
      <c r="J30" s="11" t="n"/>
      <c r="K30" s="11" t="n"/>
      <c r="L30" s="8" t="n"/>
      <c r="M30" s="8" t="n"/>
    </row>
    <row r="31">
      <c r="A31" s="4" t="n"/>
      <c r="B31" s="4" t="n"/>
      <c r="C31" s="4" t="n"/>
      <c r="D31" s="4" t="n"/>
      <c r="E31" s="5" t="n"/>
      <c r="F31" s="5">
        <f>IF(OR($E31="",$D31=""),"",IF($D31="Mensuel",$E31,IF($D31="Annuel",$E31/12,"")))</f>
        <v/>
      </c>
      <c r="G31" s="6">
        <f>IF($E31="","",$E31*'Paramètres'!$B$3)</f>
        <v/>
      </c>
      <c r="H31" s="4" t="n"/>
      <c r="I31" s="4" t="n"/>
      <c r="J31" s="7" t="n"/>
      <c r="K31" s="7" t="n"/>
      <c r="L31" s="4" t="n"/>
      <c r="M31" s="4" t="n"/>
    </row>
    <row r="32">
      <c r="A32" s="8" t="n"/>
      <c r="B32" s="8" t="n"/>
      <c r="C32" s="8" t="n"/>
      <c r="D32" s="8" t="n"/>
      <c r="E32" s="9" t="n"/>
      <c r="F32" s="9">
        <f>IF(OR($E32="",$D32=""),"",IF($D32="Mensuel",$E32,IF($D32="Annuel",$E32/12,"")))</f>
        <v/>
      </c>
      <c r="G32" s="10">
        <f>IF($E32="","",$E32*'Paramètres'!$B$3)</f>
        <v/>
      </c>
      <c r="H32" s="8" t="n"/>
      <c r="I32" s="8" t="n"/>
      <c r="J32" s="11" t="n"/>
      <c r="K32" s="11" t="n"/>
      <c r="L32" s="8" t="n"/>
      <c r="M32" s="8" t="n"/>
    </row>
    <row r="33">
      <c r="A33" s="4" t="n"/>
      <c r="B33" s="4" t="n"/>
      <c r="C33" s="4" t="n"/>
      <c r="D33" s="4" t="n"/>
      <c r="E33" s="5" t="n"/>
      <c r="F33" s="5">
        <f>IF(OR($E33="",$D33=""),"",IF($D33="Mensuel",$E33,IF($D33="Annuel",$E33/12,"")))</f>
        <v/>
      </c>
      <c r="G33" s="6">
        <f>IF($E33="","",$E33*'Paramètres'!$B$3)</f>
        <v/>
      </c>
      <c r="H33" s="4" t="n"/>
      <c r="I33" s="4" t="n"/>
      <c r="J33" s="7" t="n"/>
      <c r="K33" s="7" t="n"/>
      <c r="L33" s="4" t="n"/>
      <c r="M33" s="4" t="n"/>
    </row>
    <row r="34">
      <c r="A34" s="8" t="n"/>
      <c r="B34" s="8" t="n"/>
      <c r="C34" s="8" t="n"/>
      <c r="D34" s="8" t="n"/>
      <c r="E34" s="9" t="n"/>
      <c r="F34" s="9">
        <f>IF(OR($E34="",$D34=""),"",IF($D34="Mensuel",$E34,IF($D34="Annuel",$E34/12,"")))</f>
        <v/>
      </c>
      <c r="G34" s="10">
        <f>IF($E34="","",$E34*'Paramètres'!$B$3)</f>
        <v/>
      </c>
      <c r="H34" s="8" t="n"/>
      <c r="I34" s="8" t="n"/>
      <c r="J34" s="11" t="n"/>
      <c r="K34" s="11" t="n"/>
      <c r="L34" s="8" t="n"/>
      <c r="M34" s="8" t="n"/>
    </row>
    <row r="35">
      <c r="A35" s="4" t="n"/>
      <c r="B35" s="4" t="n"/>
      <c r="C35" s="4" t="n"/>
      <c r="D35" s="4" t="n"/>
      <c r="E35" s="5" t="n"/>
      <c r="F35" s="5">
        <f>IF(OR($E35="",$D35=""),"",IF($D35="Mensuel",$E35,IF($D35="Annuel",$E35/12,"")))</f>
        <v/>
      </c>
      <c r="G35" s="6">
        <f>IF($E35="","",$E35*'Paramètres'!$B$3)</f>
        <v/>
      </c>
      <c r="H35" s="4" t="n"/>
      <c r="I35" s="4" t="n"/>
      <c r="J35" s="7" t="n"/>
      <c r="K35" s="7" t="n"/>
      <c r="L35" s="4" t="n"/>
      <c r="M35" s="4" t="n"/>
    </row>
    <row r="36">
      <c r="A36" s="8" t="n"/>
      <c r="B36" s="8" t="n"/>
      <c r="C36" s="8" t="n"/>
      <c r="D36" s="8" t="n"/>
      <c r="E36" s="9" t="n"/>
      <c r="F36" s="9">
        <f>IF(OR($E36="",$D36=""),"",IF($D36="Mensuel",$E36,IF($D36="Annuel",$E36/12,"")))</f>
        <v/>
      </c>
      <c r="G36" s="10">
        <f>IF($E36="","",$E36*'Paramètres'!$B$3)</f>
        <v/>
      </c>
      <c r="H36" s="8" t="n"/>
      <c r="I36" s="8" t="n"/>
      <c r="J36" s="11" t="n"/>
      <c r="K36" s="11" t="n"/>
      <c r="L36" s="8" t="n"/>
      <c r="M36" s="8" t="n"/>
    </row>
    <row r="37">
      <c r="A37" s="4" t="n"/>
      <c r="B37" s="4" t="n"/>
      <c r="C37" s="4" t="n"/>
      <c r="D37" s="4" t="n"/>
      <c r="E37" s="5" t="n"/>
      <c r="F37" s="5">
        <f>IF(OR($E37="",$D37=""),"",IF($D37="Mensuel",$E37,IF($D37="Annuel",$E37/12,"")))</f>
        <v/>
      </c>
      <c r="G37" s="6">
        <f>IF($E37="","",$E37*'Paramètres'!$B$3)</f>
        <v/>
      </c>
      <c r="H37" s="4" t="n"/>
      <c r="I37" s="4" t="n"/>
      <c r="J37" s="7" t="n"/>
      <c r="K37" s="7" t="n"/>
      <c r="L37" s="4" t="n"/>
      <c r="M37" s="4" t="n"/>
    </row>
    <row r="38">
      <c r="A38" s="8" t="n"/>
      <c r="B38" s="8" t="n"/>
      <c r="C38" s="8" t="n"/>
      <c r="D38" s="8" t="n"/>
      <c r="E38" s="9" t="n"/>
      <c r="F38" s="9">
        <f>IF(OR($E38="",$D38=""),"",IF($D38="Mensuel",$E38,IF($D38="Annuel",$E38/12,"")))</f>
        <v/>
      </c>
      <c r="G38" s="10">
        <f>IF($E38="","",$E38*'Paramètres'!$B$3)</f>
        <v/>
      </c>
      <c r="H38" s="8" t="n"/>
      <c r="I38" s="8" t="n"/>
      <c r="J38" s="11" t="n"/>
      <c r="K38" s="11" t="n"/>
      <c r="L38" s="8" t="n"/>
      <c r="M38" s="8" t="n"/>
    </row>
    <row r="39">
      <c r="A39" s="4" t="n"/>
      <c r="B39" s="4" t="n"/>
      <c r="C39" s="4" t="n"/>
      <c r="D39" s="4" t="n"/>
      <c r="E39" s="5" t="n"/>
      <c r="F39" s="5">
        <f>IF(OR($E39="",$D39=""),"",IF($D39="Mensuel",$E39,IF($D39="Annuel",$E39/12,"")))</f>
        <v/>
      </c>
      <c r="G39" s="6">
        <f>IF($E39="","",$E39*'Paramètres'!$B$3)</f>
        <v/>
      </c>
      <c r="H39" s="4" t="n"/>
      <c r="I39" s="4" t="n"/>
      <c r="J39" s="7" t="n"/>
      <c r="K39" s="7" t="n"/>
      <c r="L39" s="4" t="n"/>
      <c r="M39" s="4" t="n"/>
    </row>
    <row r="40">
      <c r="A40" s="8" t="n"/>
      <c r="B40" s="8" t="n"/>
      <c r="C40" s="8" t="n"/>
      <c r="D40" s="8" t="n"/>
      <c r="E40" s="9" t="n"/>
      <c r="F40" s="9">
        <f>IF(OR($E40="",$D40=""),"",IF($D40="Mensuel",$E40,IF($D40="Annuel",$E40/12,"")))</f>
        <v/>
      </c>
      <c r="G40" s="10">
        <f>IF($E40="","",$E40*'Paramètres'!$B$3)</f>
        <v/>
      </c>
      <c r="H40" s="8" t="n"/>
      <c r="I40" s="8" t="n"/>
      <c r="J40" s="11" t="n"/>
      <c r="K40" s="11" t="n"/>
      <c r="L40" s="8" t="n"/>
      <c r="M40" s="8" t="n"/>
    </row>
    <row r="41">
      <c r="A41" s="4" t="n"/>
      <c r="B41" s="4" t="n"/>
      <c r="C41" s="4" t="n"/>
      <c r="D41" s="4" t="n"/>
      <c r="E41" s="5" t="n"/>
      <c r="F41" s="5">
        <f>IF(OR($E41="",$D41=""),"",IF($D41="Mensuel",$E41,IF($D41="Annuel",$E41/12,"")))</f>
        <v/>
      </c>
      <c r="G41" s="6">
        <f>IF($E41="","",$E41*'Paramètres'!$B$3)</f>
        <v/>
      </c>
      <c r="H41" s="4" t="n"/>
      <c r="I41" s="4" t="n"/>
      <c r="J41" s="7" t="n"/>
      <c r="K41" s="7" t="n"/>
      <c r="L41" s="4" t="n"/>
      <c r="M41" s="4" t="n"/>
    </row>
    <row r="42">
      <c r="A42" s="8" t="n"/>
      <c r="B42" s="8" t="n"/>
      <c r="C42" s="8" t="n"/>
      <c r="D42" s="8" t="n"/>
      <c r="E42" s="9" t="n"/>
      <c r="F42" s="9">
        <f>IF(OR($E42="",$D42=""),"",IF($D42="Mensuel",$E42,IF($D42="Annuel",$E42/12,"")))</f>
        <v/>
      </c>
      <c r="G42" s="10">
        <f>IF($E42="","",$E42*'Paramètres'!$B$3)</f>
        <v/>
      </c>
      <c r="H42" s="8" t="n"/>
      <c r="I42" s="8" t="n"/>
      <c r="J42" s="11" t="n"/>
      <c r="K42" s="11" t="n"/>
      <c r="L42" s="8" t="n"/>
      <c r="M42" s="8" t="n"/>
    </row>
    <row r="43">
      <c r="A43" s="4" t="n"/>
      <c r="B43" s="4" t="n"/>
      <c r="C43" s="4" t="n"/>
      <c r="D43" s="4" t="n"/>
      <c r="E43" s="5" t="n"/>
      <c r="F43" s="5">
        <f>IF(OR($E43="",$D43=""),"",IF($D43="Mensuel",$E43,IF($D43="Annuel",$E43/12,"")))</f>
        <v/>
      </c>
      <c r="G43" s="6">
        <f>IF($E43="","",$E43*'Paramètres'!$B$3)</f>
        <v/>
      </c>
      <c r="H43" s="4" t="n"/>
      <c r="I43" s="4" t="n"/>
      <c r="J43" s="7" t="n"/>
      <c r="K43" s="7" t="n"/>
      <c r="L43" s="4" t="n"/>
      <c r="M43" s="4" t="n"/>
    </row>
    <row r="44">
      <c r="A44" s="8" t="n"/>
      <c r="B44" s="8" t="n"/>
      <c r="C44" s="8" t="n"/>
      <c r="D44" s="8" t="n"/>
      <c r="E44" s="9" t="n"/>
      <c r="F44" s="9">
        <f>IF(OR($E44="",$D44=""),"",IF($D44="Mensuel",$E44,IF($D44="Annuel",$E44/12,"")))</f>
        <v/>
      </c>
      <c r="G44" s="10">
        <f>IF($E44="","",$E44*'Paramètres'!$B$3)</f>
        <v/>
      </c>
      <c r="H44" s="8" t="n"/>
      <c r="I44" s="8" t="n"/>
      <c r="J44" s="11" t="n"/>
      <c r="K44" s="11" t="n"/>
      <c r="L44" s="8" t="n"/>
      <c r="M44" s="8" t="n"/>
    </row>
    <row r="45">
      <c r="A45" s="4" t="n"/>
      <c r="B45" s="4" t="n"/>
      <c r="C45" s="4" t="n"/>
      <c r="D45" s="4" t="n"/>
      <c r="E45" s="5" t="n"/>
      <c r="F45" s="5">
        <f>IF(OR($E45="",$D45=""),"",IF($D45="Mensuel",$E45,IF($D45="Annuel",$E45/12,"")))</f>
        <v/>
      </c>
      <c r="G45" s="6">
        <f>IF($E45="","",$E45*'Paramètres'!$B$3)</f>
        <v/>
      </c>
      <c r="H45" s="4" t="n"/>
      <c r="I45" s="4" t="n"/>
      <c r="J45" s="7" t="n"/>
      <c r="K45" s="7" t="n"/>
      <c r="L45" s="4" t="n"/>
      <c r="M45" s="4" t="n"/>
    </row>
    <row r="46">
      <c r="A46" s="8" t="n"/>
      <c r="B46" s="8" t="n"/>
      <c r="C46" s="8" t="n"/>
      <c r="D46" s="8" t="n"/>
      <c r="E46" s="9" t="n"/>
      <c r="F46" s="9">
        <f>IF(OR($E46="",$D46=""),"",IF($D46="Mensuel",$E46,IF($D46="Annuel",$E46/12,"")))</f>
        <v/>
      </c>
      <c r="G46" s="10">
        <f>IF($E46="","",$E46*'Paramètres'!$B$3)</f>
        <v/>
      </c>
      <c r="H46" s="8" t="n"/>
      <c r="I46" s="8" t="n"/>
      <c r="J46" s="11" t="n"/>
      <c r="K46" s="11" t="n"/>
      <c r="L46" s="8" t="n"/>
      <c r="M46" s="8" t="n"/>
    </row>
    <row r="47">
      <c r="A47" s="4" t="n"/>
      <c r="B47" s="4" t="n"/>
      <c r="C47" s="4" t="n"/>
      <c r="D47" s="4" t="n"/>
      <c r="E47" s="5" t="n"/>
      <c r="F47" s="5">
        <f>IF(OR($E47="",$D47=""),"",IF($D47="Mensuel",$E47,IF($D47="Annuel",$E47/12,"")))</f>
        <v/>
      </c>
      <c r="G47" s="6">
        <f>IF($E47="","",$E47*'Paramètres'!$B$3)</f>
        <v/>
      </c>
      <c r="H47" s="4" t="n"/>
      <c r="I47" s="4" t="n"/>
      <c r="J47" s="7" t="n"/>
      <c r="K47" s="7" t="n"/>
      <c r="L47" s="4" t="n"/>
      <c r="M47" s="4" t="n"/>
    </row>
    <row r="48">
      <c r="A48" s="8" t="n"/>
      <c r="B48" s="8" t="n"/>
      <c r="C48" s="8" t="n"/>
      <c r="D48" s="8" t="n"/>
      <c r="E48" s="9" t="n"/>
      <c r="F48" s="9">
        <f>IF(OR($E48="",$D48=""),"",IF($D48="Mensuel",$E48,IF($D48="Annuel",$E48/12,"")))</f>
        <v/>
      </c>
      <c r="G48" s="10">
        <f>IF($E48="","",$E48*'Paramètres'!$B$3)</f>
        <v/>
      </c>
      <c r="H48" s="8" t="n"/>
      <c r="I48" s="8" t="n"/>
      <c r="J48" s="11" t="n"/>
      <c r="K48" s="11" t="n"/>
      <c r="L48" s="8" t="n"/>
      <c r="M48" s="8" t="n"/>
    </row>
    <row r="49">
      <c r="A49" s="4" t="n"/>
      <c r="B49" s="4" t="n"/>
      <c r="C49" s="4" t="n"/>
      <c r="D49" s="4" t="n"/>
      <c r="E49" s="5" t="n"/>
      <c r="F49" s="5">
        <f>IF(OR($E49="",$D49=""),"",IF($D49="Mensuel",$E49,IF($D49="Annuel",$E49/12,"")))</f>
        <v/>
      </c>
      <c r="G49" s="6">
        <f>IF($E49="","",$E49*'Paramètres'!$B$3)</f>
        <v/>
      </c>
      <c r="H49" s="4" t="n"/>
      <c r="I49" s="4" t="n"/>
      <c r="J49" s="7" t="n"/>
      <c r="K49" s="7" t="n"/>
      <c r="L49" s="4" t="n"/>
      <c r="M49" s="4" t="n"/>
    </row>
    <row r="50">
      <c r="A50" s="8" t="n"/>
      <c r="B50" s="8" t="n"/>
      <c r="C50" s="8" t="n"/>
      <c r="D50" s="8" t="n"/>
      <c r="E50" s="9" t="n"/>
      <c r="F50" s="9">
        <f>IF(OR($E50="",$D50=""),"",IF($D50="Mensuel",$E50,IF($D50="Annuel",$E50/12,"")))</f>
        <v/>
      </c>
      <c r="G50" s="10">
        <f>IF($E50="","",$E50*'Paramètres'!$B$3)</f>
        <v/>
      </c>
      <c r="H50" s="8" t="n"/>
      <c r="I50" s="8" t="n"/>
      <c r="J50" s="11" t="n"/>
      <c r="K50" s="11" t="n"/>
      <c r="L50" s="8" t="n"/>
      <c r="M50" s="8" t="n"/>
    </row>
    <row r="51">
      <c r="A51" s="4" t="n"/>
      <c r="B51" s="4" t="n"/>
      <c r="C51" s="4" t="n"/>
      <c r="D51" s="4" t="n"/>
      <c r="E51" s="5" t="n"/>
      <c r="F51" s="5">
        <f>IF(OR($E51="",$D51=""),"",IF($D51="Mensuel",$E51,IF($D51="Annuel",$E51/12,"")))</f>
        <v/>
      </c>
      <c r="G51" s="6">
        <f>IF($E51="","",$E51*'Paramètres'!$B$3)</f>
        <v/>
      </c>
      <c r="H51" s="4" t="n"/>
      <c r="I51" s="4" t="n"/>
      <c r="J51" s="7" t="n"/>
      <c r="K51" s="7" t="n"/>
      <c r="L51" s="4" t="n"/>
      <c r="M51" s="4" t="n"/>
    </row>
    <row r="52">
      <c r="A52" s="8" t="n"/>
      <c r="B52" s="8" t="n"/>
      <c r="C52" s="8" t="n"/>
      <c r="D52" s="8" t="n"/>
      <c r="E52" s="9" t="n"/>
      <c r="F52" s="9">
        <f>IF(OR($E52="",$D52=""),"",IF($D52="Mensuel",$E52,IF($D52="Annuel",$E52/12,"")))</f>
        <v/>
      </c>
      <c r="G52" s="10">
        <f>IF($E52="","",$E52*'Paramètres'!$B$3)</f>
        <v/>
      </c>
      <c r="H52" s="8" t="n"/>
      <c r="I52" s="8" t="n"/>
      <c r="J52" s="11" t="n"/>
      <c r="K52" s="11" t="n"/>
      <c r="L52" s="8" t="n"/>
      <c r="M52" s="8" t="n"/>
    </row>
    <row r="53">
      <c r="A53" s="4" t="n"/>
      <c r="B53" s="4" t="n"/>
      <c r="C53" s="4" t="n"/>
      <c r="D53" s="4" t="n"/>
      <c r="E53" s="5" t="n"/>
      <c r="F53" s="5">
        <f>IF(OR($E53="",$D53=""),"",IF($D53="Mensuel",$E53,IF($D53="Annuel",$E53/12,"")))</f>
        <v/>
      </c>
      <c r="G53" s="6">
        <f>IF($E53="","",$E53*'Paramètres'!$B$3)</f>
        <v/>
      </c>
      <c r="H53" s="4" t="n"/>
      <c r="I53" s="4" t="n"/>
      <c r="J53" s="7" t="n"/>
      <c r="K53" s="7" t="n"/>
      <c r="L53" s="4" t="n"/>
      <c r="M53" s="4" t="n"/>
    </row>
    <row r="54">
      <c r="A54" s="8" t="n"/>
      <c r="B54" s="8" t="n"/>
      <c r="C54" s="8" t="n"/>
      <c r="D54" s="8" t="n"/>
      <c r="E54" s="9" t="n"/>
      <c r="F54" s="9">
        <f>IF(OR($E54="",$D54=""),"",IF($D54="Mensuel",$E54,IF($D54="Annuel",$E54/12,"")))</f>
        <v/>
      </c>
      <c r="G54" s="10">
        <f>IF($E54="","",$E54*'Paramètres'!$B$3)</f>
        <v/>
      </c>
      <c r="H54" s="8" t="n"/>
      <c r="I54" s="8" t="n"/>
      <c r="J54" s="11" t="n"/>
      <c r="K54" s="11" t="n"/>
      <c r="L54" s="8" t="n"/>
      <c r="M54" s="8" t="n"/>
    </row>
    <row r="55">
      <c r="A55" s="4" t="n"/>
      <c r="B55" s="4" t="n"/>
      <c r="C55" s="4" t="n"/>
      <c r="D55" s="4" t="n"/>
      <c r="E55" s="5" t="n"/>
      <c r="F55" s="5">
        <f>IF(OR($E55="",$D55=""),"",IF($D55="Mensuel",$E55,IF($D55="Annuel",$E55/12,"")))</f>
        <v/>
      </c>
      <c r="G55" s="6">
        <f>IF($E55="","",$E55*'Paramètres'!$B$3)</f>
        <v/>
      </c>
      <c r="H55" s="4" t="n"/>
      <c r="I55" s="4" t="n"/>
      <c r="J55" s="7" t="n"/>
      <c r="K55" s="7" t="n"/>
      <c r="L55" s="4" t="n"/>
      <c r="M55" s="4" t="n"/>
    </row>
    <row r="56">
      <c r="A56" s="8" t="n"/>
      <c r="B56" s="8" t="n"/>
      <c r="C56" s="8" t="n"/>
      <c r="D56" s="8" t="n"/>
      <c r="E56" s="9" t="n"/>
      <c r="F56" s="9">
        <f>IF(OR($E56="",$D56=""),"",IF($D56="Mensuel",$E56,IF($D56="Annuel",$E56/12,"")))</f>
        <v/>
      </c>
      <c r="G56" s="10">
        <f>IF($E56="","",$E56*'Paramètres'!$B$3)</f>
        <v/>
      </c>
      <c r="H56" s="8" t="n"/>
      <c r="I56" s="8" t="n"/>
      <c r="J56" s="11" t="n"/>
      <c r="K56" s="11" t="n"/>
      <c r="L56" s="8" t="n"/>
      <c r="M56" s="8" t="n"/>
    </row>
    <row r="57">
      <c r="A57" s="4" t="n"/>
      <c r="B57" s="4" t="n"/>
      <c r="C57" s="4" t="n"/>
      <c r="D57" s="4" t="n"/>
      <c r="E57" s="5" t="n"/>
      <c r="F57" s="5">
        <f>IF(OR($E57="",$D57=""),"",IF($D57="Mensuel",$E57,IF($D57="Annuel",$E57/12,"")))</f>
        <v/>
      </c>
      <c r="G57" s="6">
        <f>IF($E57="","",$E57*'Paramètres'!$B$3)</f>
        <v/>
      </c>
      <c r="H57" s="4" t="n"/>
      <c r="I57" s="4" t="n"/>
      <c r="J57" s="7" t="n"/>
      <c r="K57" s="7" t="n"/>
      <c r="L57" s="4" t="n"/>
      <c r="M57" s="4" t="n"/>
    </row>
    <row r="58">
      <c r="A58" s="8" t="n"/>
      <c r="B58" s="8" t="n"/>
      <c r="C58" s="8" t="n"/>
      <c r="D58" s="8" t="n"/>
      <c r="E58" s="9" t="n"/>
      <c r="F58" s="9">
        <f>IF(OR($E58="",$D58=""),"",IF($D58="Mensuel",$E58,IF($D58="Annuel",$E58/12,"")))</f>
        <v/>
      </c>
      <c r="G58" s="10">
        <f>IF($E58="","",$E58*'Paramètres'!$B$3)</f>
        <v/>
      </c>
      <c r="H58" s="8" t="n"/>
      <c r="I58" s="8" t="n"/>
      <c r="J58" s="11" t="n"/>
      <c r="K58" s="11" t="n"/>
      <c r="L58" s="8" t="n"/>
      <c r="M58" s="8" t="n"/>
    </row>
    <row r="59">
      <c r="A59" s="4" t="n"/>
      <c r="B59" s="4" t="n"/>
      <c r="C59" s="4" t="n"/>
      <c r="D59" s="4" t="n"/>
      <c r="E59" s="5" t="n"/>
      <c r="F59" s="5">
        <f>IF(OR($E59="",$D59=""),"",IF($D59="Mensuel",$E59,IF($D59="Annuel",$E59/12,"")))</f>
        <v/>
      </c>
      <c r="G59" s="6">
        <f>IF($E59="","",$E59*'Paramètres'!$B$3)</f>
        <v/>
      </c>
      <c r="H59" s="4" t="n"/>
      <c r="I59" s="4" t="n"/>
      <c r="J59" s="7" t="n"/>
      <c r="K59" s="7" t="n"/>
      <c r="L59" s="4" t="n"/>
      <c r="M59" s="4" t="n"/>
    </row>
    <row r="60">
      <c r="A60" s="8" t="n"/>
      <c r="B60" s="8" t="n"/>
      <c r="C60" s="8" t="n"/>
      <c r="D60" s="8" t="n"/>
      <c r="E60" s="9" t="n"/>
      <c r="F60" s="9">
        <f>IF(OR($E60="",$D60=""),"",IF($D60="Mensuel",$E60,IF($D60="Annuel",$E60/12,"")))</f>
        <v/>
      </c>
      <c r="G60" s="10">
        <f>IF($E60="","",$E60*'Paramètres'!$B$3)</f>
        <v/>
      </c>
      <c r="H60" s="8" t="n"/>
      <c r="I60" s="8" t="n"/>
      <c r="J60" s="11" t="n"/>
      <c r="K60" s="11" t="n"/>
      <c r="L60" s="8" t="n"/>
      <c r="M60" s="8" t="n"/>
    </row>
    <row r="61">
      <c r="A61" s="4" t="n"/>
      <c r="B61" s="4" t="n"/>
      <c r="C61" s="4" t="n"/>
      <c r="D61" s="4" t="n"/>
      <c r="E61" s="5" t="n"/>
      <c r="F61" s="5">
        <f>IF(OR($E61="",$D61=""),"",IF($D61="Mensuel",$E61,IF($D61="Annuel",$E61/12,"")))</f>
        <v/>
      </c>
      <c r="G61" s="6">
        <f>IF($E61="","",$E61*'Paramètres'!$B$3)</f>
        <v/>
      </c>
      <c r="H61" s="4" t="n"/>
      <c r="I61" s="4" t="n"/>
      <c r="J61" s="7" t="n"/>
      <c r="K61" s="7" t="n"/>
      <c r="L61" s="4" t="n"/>
      <c r="M61" s="4" t="n"/>
    </row>
    <row r="62">
      <c r="A62" s="8" t="n"/>
      <c r="B62" s="8" t="n"/>
      <c r="C62" s="8" t="n"/>
      <c r="D62" s="8" t="n"/>
      <c r="E62" s="9" t="n"/>
      <c r="F62" s="9">
        <f>IF(OR($E62="",$D62=""),"",IF($D62="Mensuel",$E62,IF($D62="Annuel",$E62/12,"")))</f>
        <v/>
      </c>
      <c r="G62" s="10">
        <f>IF($E62="","",$E62*'Paramètres'!$B$3)</f>
        <v/>
      </c>
      <c r="H62" s="8" t="n"/>
      <c r="I62" s="8" t="n"/>
      <c r="J62" s="11" t="n"/>
      <c r="K62" s="11" t="n"/>
      <c r="L62" s="8" t="n"/>
      <c r="M62" s="8" t="n"/>
    </row>
    <row r="63">
      <c r="A63" s="4" t="n"/>
      <c r="B63" s="4" t="n"/>
      <c r="C63" s="4" t="n"/>
      <c r="D63" s="4" t="n"/>
      <c r="E63" s="5" t="n"/>
      <c r="F63" s="5">
        <f>IF(OR($E63="",$D63=""),"",IF($D63="Mensuel",$E63,IF($D63="Annuel",$E63/12,"")))</f>
        <v/>
      </c>
      <c r="G63" s="6">
        <f>IF($E63="","",$E63*'Paramètres'!$B$3)</f>
        <v/>
      </c>
      <c r="H63" s="4" t="n"/>
      <c r="I63" s="4" t="n"/>
      <c r="J63" s="7" t="n"/>
      <c r="K63" s="7" t="n"/>
      <c r="L63" s="4" t="n"/>
      <c r="M63" s="4" t="n"/>
    </row>
    <row r="64">
      <c r="A64" s="8" t="n"/>
      <c r="B64" s="8" t="n"/>
      <c r="C64" s="8" t="n"/>
      <c r="D64" s="8" t="n"/>
      <c r="E64" s="9" t="n"/>
      <c r="F64" s="9">
        <f>IF(OR($E64="",$D64=""),"",IF($D64="Mensuel",$E64,IF($D64="Annuel",$E64/12,"")))</f>
        <v/>
      </c>
      <c r="G64" s="10">
        <f>IF($E64="","",$E64*'Paramètres'!$B$3)</f>
        <v/>
      </c>
      <c r="H64" s="8" t="n"/>
      <c r="I64" s="8" t="n"/>
      <c r="J64" s="11" t="n"/>
      <c r="K64" s="11" t="n"/>
      <c r="L64" s="8" t="n"/>
      <c r="M64" s="8" t="n"/>
    </row>
    <row r="65">
      <c r="A65" s="4" t="n"/>
      <c r="B65" s="4" t="n"/>
      <c r="C65" s="4" t="n"/>
      <c r="D65" s="4" t="n"/>
      <c r="E65" s="5" t="n"/>
      <c r="F65" s="5">
        <f>IF(OR($E65="",$D65=""),"",IF($D65="Mensuel",$E65,IF($D65="Annuel",$E65/12,"")))</f>
        <v/>
      </c>
      <c r="G65" s="6">
        <f>IF($E65="","",$E65*'Paramètres'!$B$3)</f>
        <v/>
      </c>
      <c r="H65" s="4" t="n"/>
      <c r="I65" s="4" t="n"/>
      <c r="J65" s="7" t="n"/>
      <c r="K65" s="7" t="n"/>
      <c r="L65" s="4" t="n"/>
      <c r="M65" s="4" t="n"/>
    </row>
    <row r="66">
      <c r="A66" s="8" t="n"/>
      <c r="B66" s="8" t="n"/>
      <c r="C66" s="8" t="n"/>
      <c r="D66" s="8" t="n"/>
      <c r="E66" s="9" t="n"/>
      <c r="F66" s="9">
        <f>IF(OR($E66="",$D66=""),"",IF($D66="Mensuel",$E66,IF($D66="Annuel",$E66/12,"")))</f>
        <v/>
      </c>
      <c r="G66" s="10">
        <f>IF($E66="","",$E66*'Paramètres'!$B$3)</f>
        <v/>
      </c>
      <c r="H66" s="8" t="n"/>
      <c r="I66" s="8" t="n"/>
      <c r="J66" s="11" t="n"/>
      <c r="K66" s="11" t="n"/>
      <c r="L66" s="8" t="n"/>
      <c r="M66" s="8" t="n"/>
    </row>
    <row r="67">
      <c r="A67" s="4" t="n"/>
      <c r="B67" s="4" t="n"/>
      <c r="C67" s="4" t="n"/>
      <c r="D67" s="4" t="n"/>
      <c r="E67" s="5" t="n"/>
      <c r="F67" s="5">
        <f>IF(OR($E67="",$D67=""),"",IF($D67="Mensuel",$E67,IF($D67="Annuel",$E67/12,"")))</f>
        <v/>
      </c>
      <c r="G67" s="6">
        <f>IF($E67="","",$E67*'Paramètres'!$B$3)</f>
        <v/>
      </c>
      <c r="H67" s="4" t="n"/>
      <c r="I67" s="4" t="n"/>
      <c r="J67" s="7" t="n"/>
      <c r="K67" s="7" t="n"/>
      <c r="L67" s="4" t="n"/>
      <c r="M67" s="4" t="n"/>
    </row>
    <row r="68">
      <c r="A68" s="8" t="n"/>
      <c r="B68" s="8" t="n"/>
      <c r="C68" s="8" t="n"/>
      <c r="D68" s="8" t="n"/>
      <c r="E68" s="9" t="n"/>
      <c r="F68" s="9">
        <f>IF(OR($E68="",$D68=""),"",IF($D68="Mensuel",$E68,IF($D68="Annuel",$E68/12,"")))</f>
        <v/>
      </c>
      <c r="G68" s="10">
        <f>IF($E68="","",$E68*'Paramètres'!$B$3)</f>
        <v/>
      </c>
      <c r="H68" s="8" t="n"/>
      <c r="I68" s="8" t="n"/>
      <c r="J68" s="11" t="n"/>
      <c r="K68" s="11" t="n"/>
      <c r="L68" s="8" t="n"/>
      <c r="M68" s="8" t="n"/>
    </row>
    <row r="69">
      <c r="A69" s="4" t="n"/>
      <c r="B69" s="4" t="n"/>
      <c r="C69" s="4" t="n"/>
      <c r="D69" s="4" t="n"/>
      <c r="E69" s="5" t="n"/>
      <c r="F69" s="5">
        <f>IF(OR($E69="",$D69=""),"",IF($D69="Mensuel",$E69,IF($D69="Annuel",$E69/12,"")))</f>
        <v/>
      </c>
      <c r="G69" s="6">
        <f>IF($E69="","",$E69*'Paramètres'!$B$3)</f>
        <v/>
      </c>
      <c r="H69" s="4" t="n"/>
      <c r="I69" s="4" t="n"/>
      <c r="J69" s="7" t="n"/>
      <c r="K69" s="7" t="n"/>
      <c r="L69" s="4" t="n"/>
      <c r="M69" s="4" t="n"/>
    </row>
    <row r="70">
      <c r="A70" s="8" t="n"/>
      <c r="B70" s="8" t="n"/>
      <c r="C70" s="8" t="n"/>
      <c r="D70" s="8" t="n"/>
      <c r="E70" s="9" t="n"/>
      <c r="F70" s="9">
        <f>IF(OR($E70="",$D70=""),"",IF($D70="Mensuel",$E70,IF($D70="Annuel",$E70/12,"")))</f>
        <v/>
      </c>
      <c r="G70" s="10">
        <f>IF($E70="","",$E70*'Paramètres'!$B$3)</f>
        <v/>
      </c>
      <c r="H70" s="8" t="n"/>
      <c r="I70" s="8" t="n"/>
      <c r="J70" s="11" t="n"/>
      <c r="K70" s="11" t="n"/>
      <c r="L70" s="8" t="n"/>
      <c r="M70" s="8" t="n"/>
    </row>
    <row r="71">
      <c r="A71" s="4" t="n"/>
      <c r="B71" s="4" t="n"/>
      <c r="C71" s="4" t="n"/>
      <c r="D71" s="4" t="n"/>
      <c r="E71" s="5" t="n"/>
      <c r="F71" s="5">
        <f>IF(OR($E71="",$D71=""),"",IF($D71="Mensuel",$E71,IF($D71="Annuel",$E71/12,"")))</f>
        <v/>
      </c>
      <c r="G71" s="6">
        <f>IF($E71="","",$E71*'Paramètres'!$B$3)</f>
        <v/>
      </c>
      <c r="H71" s="4" t="n"/>
      <c r="I71" s="4" t="n"/>
      <c r="J71" s="7" t="n"/>
      <c r="K71" s="7" t="n"/>
      <c r="L71" s="4" t="n"/>
      <c r="M71" s="4" t="n"/>
    </row>
    <row r="72">
      <c r="A72" s="8" t="n"/>
      <c r="B72" s="8" t="n"/>
      <c r="C72" s="8" t="n"/>
      <c r="D72" s="8" t="n"/>
      <c r="E72" s="9" t="n"/>
      <c r="F72" s="9">
        <f>IF(OR($E72="",$D72=""),"",IF($D72="Mensuel",$E72,IF($D72="Annuel",$E72/12,"")))</f>
        <v/>
      </c>
      <c r="G72" s="10">
        <f>IF($E72="","",$E72*'Paramètres'!$B$3)</f>
        <v/>
      </c>
      <c r="H72" s="8" t="n"/>
      <c r="I72" s="8" t="n"/>
      <c r="J72" s="11" t="n"/>
      <c r="K72" s="11" t="n"/>
      <c r="L72" s="8" t="n"/>
      <c r="M72" s="8" t="n"/>
    </row>
    <row r="73">
      <c r="A73" s="4" t="n"/>
      <c r="B73" s="4" t="n"/>
      <c r="C73" s="4" t="n"/>
      <c r="D73" s="4" t="n"/>
      <c r="E73" s="5" t="n"/>
      <c r="F73" s="5">
        <f>IF(OR($E73="",$D73=""),"",IF($D73="Mensuel",$E73,IF($D73="Annuel",$E73/12,"")))</f>
        <v/>
      </c>
      <c r="G73" s="6">
        <f>IF($E73="","",$E73*'Paramètres'!$B$3)</f>
        <v/>
      </c>
      <c r="H73" s="4" t="n"/>
      <c r="I73" s="4" t="n"/>
      <c r="J73" s="7" t="n"/>
      <c r="K73" s="7" t="n"/>
      <c r="L73" s="4" t="n"/>
      <c r="M73" s="4" t="n"/>
    </row>
    <row r="74">
      <c r="A74" s="8" t="n"/>
      <c r="B74" s="8" t="n"/>
      <c r="C74" s="8" t="n"/>
      <c r="D74" s="8" t="n"/>
      <c r="E74" s="9" t="n"/>
      <c r="F74" s="9">
        <f>IF(OR($E74="",$D74=""),"",IF($D74="Mensuel",$E74,IF($D74="Annuel",$E74/12,"")))</f>
        <v/>
      </c>
      <c r="G74" s="10">
        <f>IF($E74="","",$E74*'Paramètres'!$B$3)</f>
        <v/>
      </c>
      <c r="H74" s="8" t="n"/>
      <c r="I74" s="8" t="n"/>
      <c r="J74" s="11" t="n"/>
      <c r="K74" s="11" t="n"/>
      <c r="L74" s="8" t="n"/>
      <c r="M74" s="8" t="n"/>
    </row>
    <row r="75">
      <c r="A75" s="4" t="n"/>
      <c r="B75" s="4" t="n"/>
      <c r="C75" s="4" t="n"/>
      <c r="D75" s="4" t="n"/>
      <c r="E75" s="5" t="n"/>
      <c r="F75" s="5">
        <f>IF(OR($E75="",$D75=""),"",IF($D75="Mensuel",$E75,IF($D75="Annuel",$E75/12,"")))</f>
        <v/>
      </c>
      <c r="G75" s="6">
        <f>IF($E75="","",$E75*'Paramètres'!$B$3)</f>
        <v/>
      </c>
      <c r="H75" s="4" t="n"/>
      <c r="I75" s="4" t="n"/>
      <c r="J75" s="7" t="n"/>
      <c r="K75" s="7" t="n"/>
      <c r="L75" s="4" t="n"/>
      <c r="M75" s="4" t="n"/>
    </row>
    <row r="76">
      <c r="A76" s="8" t="n"/>
      <c r="B76" s="8" t="n"/>
      <c r="C76" s="8" t="n"/>
      <c r="D76" s="8" t="n"/>
      <c r="E76" s="9" t="n"/>
      <c r="F76" s="9">
        <f>IF(OR($E76="",$D76=""),"",IF($D76="Mensuel",$E76,IF($D76="Annuel",$E76/12,"")))</f>
        <v/>
      </c>
      <c r="G76" s="10">
        <f>IF($E76="","",$E76*'Paramètres'!$B$3)</f>
        <v/>
      </c>
      <c r="H76" s="8" t="n"/>
      <c r="I76" s="8" t="n"/>
      <c r="J76" s="11" t="n"/>
      <c r="K76" s="11" t="n"/>
      <c r="L76" s="8" t="n"/>
      <c r="M76" s="8" t="n"/>
    </row>
    <row r="77">
      <c r="A77" s="4" t="n"/>
      <c r="B77" s="4" t="n"/>
      <c r="C77" s="4" t="n"/>
      <c r="D77" s="4" t="n"/>
      <c r="E77" s="5" t="n"/>
      <c r="F77" s="5">
        <f>IF(OR($E77="",$D77=""),"",IF($D77="Mensuel",$E77,IF($D77="Annuel",$E77/12,"")))</f>
        <v/>
      </c>
      <c r="G77" s="6">
        <f>IF($E77="","",$E77*'Paramètres'!$B$3)</f>
        <v/>
      </c>
      <c r="H77" s="4" t="n"/>
      <c r="I77" s="4" t="n"/>
      <c r="J77" s="7" t="n"/>
      <c r="K77" s="7" t="n"/>
      <c r="L77" s="4" t="n"/>
      <c r="M77" s="4" t="n"/>
    </row>
    <row r="78">
      <c r="A78" s="8" t="n"/>
      <c r="B78" s="8" t="n"/>
      <c r="C78" s="8" t="n"/>
      <c r="D78" s="8" t="n"/>
      <c r="E78" s="9" t="n"/>
      <c r="F78" s="9">
        <f>IF(OR($E78="",$D78=""),"",IF($D78="Mensuel",$E78,IF($D78="Annuel",$E78/12,"")))</f>
        <v/>
      </c>
      <c r="G78" s="10">
        <f>IF($E78="","",$E78*'Paramètres'!$B$3)</f>
        <v/>
      </c>
      <c r="H78" s="8" t="n"/>
      <c r="I78" s="8" t="n"/>
      <c r="J78" s="11" t="n"/>
      <c r="K78" s="11" t="n"/>
      <c r="L78" s="8" t="n"/>
      <c r="M78" s="8" t="n"/>
    </row>
    <row r="79">
      <c r="A79" s="4" t="n"/>
      <c r="B79" s="4" t="n"/>
      <c r="C79" s="4" t="n"/>
      <c r="D79" s="4" t="n"/>
      <c r="E79" s="5" t="n"/>
      <c r="F79" s="5">
        <f>IF(OR($E79="",$D79=""),"",IF($D79="Mensuel",$E79,IF($D79="Annuel",$E79/12,"")))</f>
        <v/>
      </c>
      <c r="G79" s="6">
        <f>IF($E79="","",$E79*'Paramètres'!$B$3)</f>
        <v/>
      </c>
      <c r="H79" s="4" t="n"/>
      <c r="I79" s="4" t="n"/>
      <c r="J79" s="7" t="n"/>
      <c r="K79" s="7" t="n"/>
      <c r="L79" s="4" t="n"/>
      <c r="M79" s="4" t="n"/>
    </row>
    <row r="80">
      <c r="A80" s="8" t="n"/>
      <c r="B80" s="8" t="n"/>
      <c r="C80" s="8" t="n"/>
      <c r="D80" s="8" t="n"/>
      <c r="E80" s="9" t="n"/>
      <c r="F80" s="9">
        <f>IF(OR($E80="",$D80=""),"",IF($D80="Mensuel",$E80,IF($D80="Annuel",$E80/12,"")))</f>
        <v/>
      </c>
      <c r="G80" s="10">
        <f>IF($E80="","",$E80*'Paramètres'!$B$3)</f>
        <v/>
      </c>
      <c r="H80" s="8" t="n"/>
      <c r="I80" s="8" t="n"/>
      <c r="J80" s="11" t="n"/>
      <c r="K80" s="11" t="n"/>
      <c r="L80" s="8" t="n"/>
      <c r="M80" s="8" t="n"/>
    </row>
    <row r="81">
      <c r="A81" s="4" t="n"/>
      <c r="B81" s="4" t="n"/>
      <c r="C81" s="4" t="n"/>
      <c r="D81" s="4" t="n"/>
      <c r="E81" s="5" t="n"/>
      <c r="F81" s="5">
        <f>IF(OR($E81="",$D81=""),"",IF($D81="Mensuel",$E81,IF($D81="Annuel",$E81/12,"")))</f>
        <v/>
      </c>
      <c r="G81" s="6">
        <f>IF($E81="","",$E81*'Paramètres'!$B$3)</f>
        <v/>
      </c>
      <c r="H81" s="4" t="n"/>
      <c r="I81" s="4" t="n"/>
      <c r="J81" s="7" t="n"/>
      <c r="K81" s="7" t="n"/>
      <c r="L81" s="4" t="n"/>
      <c r="M81" s="4" t="n"/>
    </row>
    <row r="82">
      <c r="A82" s="8" t="n"/>
      <c r="B82" s="8" t="n"/>
      <c r="C82" s="8" t="n"/>
      <c r="D82" s="8" t="n"/>
      <c r="E82" s="9" t="n"/>
      <c r="F82" s="9">
        <f>IF(OR($E82="",$D82=""),"",IF($D82="Mensuel",$E82,IF($D82="Annuel",$E82/12,"")))</f>
        <v/>
      </c>
      <c r="G82" s="10">
        <f>IF($E82="","",$E82*'Paramètres'!$B$3)</f>
        <v/>
      </c>
      <c r="H82" s="8" t="n"/>
      <c r="I82" s="8" t="n"/>
      <c r="J82" s="11" t="n"/>
      <c r="K82" s="11" t="n"/>
      <c r="L82" s="8" t="n"/>
      <c r="M82" s="8" t="n"/>
    </row>
    <row r="83">
      <c r="A83" s="4" t="n"/>
      <c r="B83" s="4" t="n"/>
      <c r="C83" s="4" t="n"/>
      <c r="D83" s="4" t="n"/>
      <c r="E83" s="5" t="n"/>
      <c r="F83" s="5">
        <f>IF(OR($E83="",$D83=""),"",IF($D83="Mensuel",$E83,IF($D83="Annuel",$E83/12,"")))</f>
        <v/>
      </c>
      <c r="G83" s="6">
        <f>IF($E83="","",$E83*'Paramètres'!$B$3)</f>
        <v/>
      </c>
      <c r="H83" s="4" t="n"/>
      <c r="I83" s="4" t="n"/>
      <c r="J83" s="7" t="n"/>
      <c r="K83" s="7" t="n"/>
      <c r="L83" s="4" t="n"/>
      <c r="M83" s="4" t="n"/>
    </row>
    <row r="84">
      <c r="A84" s="8" t="n"/>
      <c r="B84" s="8" t="n"/>
      <c r="C84" s="8" t="n"/>
      <c r="D84" s="8" t="n"/>
      <c r="E84" s="9" t="n"/>
      <c r="F84" s="9">
        <f>IF(OR($E84="",$D84=""),"",IF($D84="Mensuel",$E84,IF($D84="Annuel",$E84/12,"")))</f>
        <v/>
      </c>
      <c r="G84" s="10">
        <f>IF($E84="","",$E84*'Paramètres'!$B$3)</f>
        <v/>
      </c>
      <c r="H84" s="8" t="n"/>
      <c r="I84" s="8" t="n"/>
      <c r="J84" s="11" t="n"/>
      <c r="K84" s="11" t="n"/>
      <c r="L84" s="8" t="n"/>
      <c r="M84" s="8" t="n"/>
    </row>
    <row r="85">
      <c r="A85" s="4" t="n"/>
      <c r="B85" s="4" t="n"/>
      <c r="C85" s="4" t="n"/>
      <c r="D85" s="4" t="n"/>
      <c r="E85" s="5" t="n"/>
      <c r="F85" s="5">
        <f>IF(OR($E85="",$D85=""),"",IF($D85="Mensuel",$E85,IF($D85="Annuel",$E85/12,"")))</f>
        <v/>
      </c>
      <c r="G85" s="6">
        <f>IF($E85="","",$E85*'Paramètres'!$B$3)</f>
        <v/>
      </c>
      <c r="H85" s="4" t="n"/>
      <c r="I85" s="4" t="n"/>
      <c r="J85" s="7" t="n"/>
      <c r="K85" s="7" t="n"/>
      <c r="L85" s="4" t="n"/>
      <c r="M85" s="4" t="n"/>
    </row>
    <row r="86">
      <c r="A86" s="8" t="n"/>
      <c r="B86" s="8" t="n"/>
      <c r="C86" s="8" t="n"/>
      <c r="D86" s="8" t="n"/>
      <c r="E86" s="9" t="n"/>
      <c r="F86" s="9">
        <f>IF(OR($E86="",$D86=""),"",IF($D86="Mensuel",$E86,IF($D86="Annuel",$E86/12,"")))</f>
        <v/>
      </c>
      <c r="G86" s="10">
        <f>IF($E86="","",$E86*'Paramètres'!$B$3)</f>
        <v/>
      </c>
      <c r="H86" s="8" t="n"/>
      <c r="I86" s="8" t="n"/>
      <c r="J86" s="11" t="n"/>
      <c r="K86" s="11" t="n"/>
      <c r="L86" s="8" t="n"/>
      <c r="M86" s="8" t="n"/>
    </row>
    <row r="87">
      <c r="A87" s="4" t="n"/>
      <c r="B87" s="4" t="n"/>
      <c r="C87" s="4" t="n"/>
      <c r="D87" s="4" t="n"/>
      <c r="E87" s="5" t="n"/>
      <c r="F87" s="5">
        <f>IF(OR($E87="",$D87=""),"",IF($D87="Mensuel",$E87,IF($D87="Annuel",$E87/12,"")))</f>
        <v/>
      </c>
      <c r="G87" s="6">
        <f>IF($E87="","",$E87*'Paramètres'!$B$3)</f>
        <v/>
      </c>
      <c r="H87" s="4" t="n"/>
      <c r="I87" s="4" t="n"/>
      <c r="J87" s="7" t="n"/>
      <c r="K87" s="7" t="n"/>
      <c r="L87" s="4" t="n"/>
      <c r="M87" s="4" t="n"/>
    </row>
    <row r="88">
      <c r="A88" s="8" t="n"/>
      <c r="B88" s="8" t="n"/>
      <c r="C88" s="8" t="n"/>
      <c r="D88" s="8" t="n"/>
      <c r="E88" s="9" t="n"/>
      <c r="F88" s="9">
        <f>IF(OR($E88="",$D88=""),"",IF($D88="Mensuel",$E88,IF($D88="Annuel",$E88/12,"")))</f>
        <v/>
      </c>
      <c r="G88" s="10">
        <f>IF($E88="","",$E88*'Paramètres'!$B$3)</f>
        <v/>
      </c>
      <c r="H88" s="8" t="n"/>
      <c r="I88" s="8" t="n"/>
      <c r="J88" s="11" t="n"/>
      <c r="K88" s="11" t="n"/>
      <c r="L88" s="8" t="n"/>
      <c r="M88" s="8" t="n"/>
    </row>
    <row r="89">
      <c r="A89" s="4" t="n"/>
      <c r="B89" s="4" t="n"/>
      <c r="C89" s="4" t="n"/>
      <c r="D89" s="4" t="n"/>
      <c r="E89" s="5" t="n"/>
      <c r="F89" s="5">
        <f>IF(OR($E89="",$D89=""),"",IF($D89="Mensuel",$E89,IF($D89="Annuel",$E89/12,"")))</f>
        <v/>
      </c>
      <c r="G89" s="6">
        <f>IF($E89="","",$E89*'Paramètres'!$B$3)</f>
        <v/>
      </c>
      <c r="H89" s="4" t="n"/>
      <c r="I89" s="4" t="n"/>
      <c r="J89" s="7" t="n"/>
      <c r="K89" s="7" t="n"/>
      <c r="L89" s="4" t="n"/>
      <c r="M89" s="4" t="n"/>
    </row>
    <row r="90">
      <c r="A90" s="8" t="n"/>
      <c r="B90" s="8" t="n"/>
      <c r="C90" s="8" t="n"/>
      <c r="D90" s="8" t="n"/>
      <c r="E90" s="9" t="n"/>
      <c r="F90" s="9">
        <f>IF(OR($E90="",$D90=""),"",IF($D90="Mensuel",$E90,IF($D90="Annuel",$E90/12,"")))</f>
        <v/>
      </c>
      <c r="G90" s="10">
        <f>IF($E90="","",$E90*'Paramètres'!$B$3)</f>
        <v/>
      </c>
      <c r="H90" s="8" t="n"/>
      <c r="I90" s="8" t="n"/>
      <c r="J90" s="11" t="n"/>
      <c r="K90" s="11" t="n"/>
      <c r="L90" s="8" t="n"/>
      <c r="M90" s="8" t="n"/>
    </row>
    <row r="91">
      <c r="A91" s="4" t="n"/>
      <c r="B91" s="4" t="n"/>
      <c r="C91" s="4" t="n"/>
      <c r="D91" s="4" t="n"/>
      <c r="E91" s="5" t="n"/>
      <c r="F91" s="5">
        <f>IF(OR($E91="",$D91=""),"",IF($D91="Mensuel",$E91,IF($D91="Annuel",$E91/12,"")))</f>
        <v/>
      </c>
      <c r="G91" s="6">
        <f>IF($E91="","",$E91*'Paramètres'!$B$3)</f>
        <v/>
      </c>
      <c r="H91" s="4" t="n"/>
      <c r="I91" s="4" t="n"/>
      <c r="J91" s="7" t="n"/>
      <c r="K91" s="7" t="n"/>
      <c r="L91" s="4" t="n"/>
      <c r="M91" s="4" t="n"/>
    </row>
    <row r="92">
      <c r="A92" s="8" t="n"/>
      <c r="B92" s="8" t="n"/>
      <c r="C92" s="8" t="n"/>
      <c r="D92" s="8" t="n"/>
      <c r="E92" s="9" t="n"/>
      <c r="F92" s="9">
        <f>IF(OR($E92="",$D92=""),"",IF($D92="Mensuel",$E92,IF($D92="Annuel",$E92/12,"")))</f>
        <v/>
      </c>
      <c r="G92" s="10">
        <f>IF($E92="","",$E92*'Paramètres'!$B$3)</f>
        <v/>
      </c>
      <c r="H92" s="8" t="n"/>
      <c r="I92" s="8" t="n"/>
      <c r="J92" s="11" t="n"/>
      <c r="K92" s="11" t="n"/>
      <c r="L92" s="8" t="n"/>
      <c r="M92" s="8" t="n"/>
    </row>
    <row r="93">
      <c r="A93" s="4" t="n"/>
      <c r="B93" s="4" t="n"/>
      <c r="C93" s="4" t="n"/>
      <c r="D93" s="4" t="n"/>
      <c r="E93" s="5" t="n"/>
      <c r="F93" s="5">
        <f>IF(OR($E93="",$D93=""),"",IF($D93="Mensuel",$E93,IF($D93="Annuel",$E93/12,"")))</f>
        <v/>
      </c>
      <c r="G93" s="6">
        <f>IF($E93="","",$E93*'Paramètres'!$B$3)</f>
        <v/>
      </c>
      <c r="H93" s="4" t="n"/>
      <c r="I93" s="4" t="n"/>
      <c r="J93" s="7" t="n"/>
      <c r="K93" s="7" t="n"/>
      <c r="L93" s="4" t="n"/>
      <c r="M93" s="4" t="n"/>
    </row>
    <row r="94">
      <c r="A94" s="8" t="n"/>
      <c r="B94" s="8" t="n"/>
      <c r="C94" s="8" t="n"/>
      <c r="D94" s="8" t="n"/>
      <c r="E94" s="9" t="n"/>
      <c r="F94" s="9">
        <f>IF(OR($E94="",$D94=""),"",IF($D94="Mensuel",$E94,IF($D94="Annuel",$E94/12,"")))</f>
        <v/>
      </c>
      <c r="G94" s="10">
        <f>IF($E94="","",$E94*'Paramètres'!$B$3)</f>
        <v/>
      </c>
      <c r="H94" s="8" t="n"/>
      <c r="I94" s="8" t="n"/>
      <c r="J94" s="11" t="n"/>
      <c r="K94" s="11" t="n"/>
      <c r="L94" s="8" t="n"/>
      <c r="M94" s="8" t="n"/>
    </row>
    <row r="95">
      <c r="A95" s="4" t="n"/>
      <c r="B95" s="4" t="n"/>
      <c r="C95" s="4" t="n"/>
      <c r="D95" s="4" t="n"/>
      <c r="E95" s="5" t="n"/>
      <c r="F95" s="5">
        <f>IF(OR($E95="",$D95=""),"",IF($D95="Mensuel",$E95,IF($D95="Annuel",$E95/12,"")))</f>
        <v/>
      </c>
      <c r="G95" s="6">
        <f>IF($E95="","",$E95*'Paramètres'!$B$3)</f>
        <v/>
      </c>
      <c r="H95" s="4" t="n"/>
      <c r="I95" s="4" t="n"/>
      <c r="J95" s="7" t="n"/>
      <c r="K95" s="7" t="n"/>
      <c r="L95" s="4" t="n"/>
      <c r="M95" s="4" t="n"/>
    </row>
    <row r="96">
      <c r="A96" s="8" t="n"/>
      <c r="B96" s="8" t="n"/>
      <c r="C96" s="8" t="n"/>
      <c r="D96" s="8" t="n"/>
      <c r="E96" s="9" t="n"/>
      <c r="F96" s="9">
        <f>IF(OR($E96="",$D96=""),"",IF($D96="Mensuel",$E96,IF($D96="Annuel",$E96/12,"")))</f>
        <v/>
      </c>
      <c r="G96" s="10">
        <f>IF($E96="","",$E96*'Paramètres'!$B$3)</f>
        <v/>
      </c>
      <c r="H96" s="8" t="n"/>
      <c r="I96" s="8" t="n"/>
      <c r="J96" s="11" t="n"/>
      <c r="K96" s="11" t="n"/>
      <c r="L96" s="8" t="n"/>
      <c r="M96" s="8" t="n"/>
    </row>
    <row r="97">
      <c r="A97" s="4" t="n"/>
      <c r="B97" s="4" t="n"/>
      <c r="C97" s="4" t="n"/>
      <c r="D97" s="4" t="n"/>
      <c r="E97" s="5" t="n"/>
      <c r="F97" s="5">
        <f>IF(OR($E97="",$D97=""),"",IF($D97="Mensuel",$E97,IF($D97="Annuel",$E97/12,"")))</f>
        <v/>
      </c>
      <c r="G97" s="6">
        <f>IF($E97="","",$E97*'Paramètres'!$B$3)</f>
        <v/>
      </c>
      <c r="H97" s="4" t="n"/>
      <c r="I97" s="4" t="n"/>
      <c r="J97" s="7" t="n"/>
      <c r="K97" s="7" t="n"/>
      <c r="L97" s="4" t="n"/>
      <c r="M97" s="4" t="n"/>
    </row>
    <row r="98">
      <c r="A98" s="8" t="n"/>
      <c r="B98" s="8" t="n"/>
      <c r="C98" s="8" t="n"/>
      <c r="D98" s="8" t="n"/>
      <c r="E98" s="9" t="n"/>
      <c r="F98" s="9">
        <f>IF(OR($E98="",$D98=""),"",IF($D98="Mensuel",$E98,IF($D98="Annuel",$E98/12,"")))</f>
        <v/>
      </c>
      <c r="G98" s="10">
        <f>IF($E98="","",$E98*'Paramètres'!$B$3)</f>
        <v/>
      </c>
      <c r="H98" s="8" t="n"/>
      <c r="I98" s="8" t="n"/>
      <c r="J98" s="11" t="n"/>
      <c r="K98" s="11" t="n"/>
      <c r="L98" s="8" t="n"/>
      <c r="M98" s="8" t="n"/>
    </row>
    <row r="99">
      <c r="A99" s="4" t="n"/>
      <c r="B99" s="4" t="n"/>
      <c r="C99" s="4" t="n"/>
      <c r="D99" s="4" t="n"/>
      <c r="E99" s="5" t="n"/>
      <c r="F99" s="5">
        <f>IF(OR($E99="",$D99=""),"",IF($D99="Mensuel",$E99,IF($D99="Annuel",$E99/12,"")))</f>
        <v/>
      </c>
      <c r="G99" s="6">
        <f>IF($E99="","",$E99*'Paramètres'!$B$3)</f>
        <v/>
      </c>
      <c r="H99" s="4" t="n"/>
      <c r="I99" s="4" t="n"/>
      <c r="J99" s="7" t="n"/>
      <c r="K99" s="7" t="n"/>
      <c r="L99" s="4" t="n"/>
      <c r="M99" s="4" t="n"/>
    </row>
    <row r="100">
      <c r="A100" s="8" t="n"/>
      <c r="B100" s="8" t="n"/>
      <c r="C100" s="8" t="n"/>
      <c r="D100" s="8" t="n"/>
      <c r="E100" s="9" t="n"/>
      <c r="F100" s="9">
        <f>IF(OR($E100="",$D100=""),"",IF($D100="Mensuel",$E100,IF($D100="Annuel",$E100/12,"")))</f>
        <v/>
      </c>
      <c r="G100" s="10">
        <f>IF($E100="","",$E100*'Paramètres'!$B$3)</f>
        <v/>
      </c>
      <c r="H100" s="8" t="n"/>
      <c r="I100" s="8" t="n"/>
      <c r="J100" s="11" t="n"/>
      <c r="K100" s="11" t="n"/>
      <c r="L100" s="8" t="n"/>
      <c r="M100" s="8" t="n"/>
    </row>
    <row r="101">
      <c r="A101" s="4" t="n"/>
      <c r="B101" s="4" t="n"/>
      <c r="C101" s="4" t="n"/>
      <c r="D101" s="4" t="n"/>
      <c r="E101" s="5" t="n"/>
      <c r="F101" s="5">
        <f>IF(OR($E101="",$D101=""),"",IF($D101="Mensuel",$E101,IF($D101="Annuel",$E101/12,"")))</f>
        <v/>
      </c>
      <c r="G101" s="6">
        <f>IF($E101="","",$E101*'Paramètres'!$B$3)</f>
        <v/>
      </c>
      <c r="H101" s="4" t="n"/>
      <c r="I101" s="4" t="n"/>
      <c r="J101" s="7" t="n"/>
      <c r="K101" s="7" t="n"/>
      <c r="L101" s="4" t="n"/>
      <c r="M101" s="4" t="n"/>
    </row>
    <row r="102">
      <c r="A102" s="8" t="n"/>
      <c r="B102" s="8" t="n"/>
      <c r="C102" s="8" t="n"/>
      <c r="D102" s="8" t="n"/>
      <c r="E102" s="9" t="n"/>
      <c r="F102" s="9">
        <f>IF(OR($E102="",$D102=""),"",IF($D102="Mensuel",$E102,IF($D102="Annuel",$E102/12,"")))</f>
        <v/>
      </c>
      <c r="G102" s="10">
        <f>IF($E102="","",$E102*'Paramètres'!$B$3)</f>
        <v/>
      </c>
      <c r="H102" s="8" t="n"/>
      <c r="I102" s="8" t="n"/>
      <c r="J102" s="11" t="n"/>
      <c r="K102" s="11" t="n"/>
      <c r="L102" s="8" t="n"/>
      <c r="M102" s="8" t="n"/>
    </row>
    <row r="103">
      <c r="A103" s="4" t="n"/>
      <c r="B103" s="4" t="n"/>
      <c r="C103" s="4" t="n"/>
      <c r="D103" s="4" t="n"/>
      <c r="E103" s="5" t="n"/>
      <c r="F103" s="5">
        <f>IF(OR($E103="",$D103=""),"",IF($D103="Mensuel",$E103,IF($D103="Annuel",$E103/12,"")))</f>
        <v/>
      </c>
      <c r="G103" s="6">
        <f>IF($E103="","",$E103*'Paramètres'!$B$3)</f>
        <v/>
      </c>
      <c r="H103" s="4" t="n"/>
      <c r="I103" s="4" t="n"/>
      <c r="J103" s="7" t="n"/>
      <c r="K103" s="7" t="n"/>
      <c r="L103" s="4" t="n"/>
      <c r="M103" s="4" t="n"/>
    </row>
    <row r="104">
      <c r="A104" s="8" t="n"/>
      <c r="B104" s="8" t="n"/>
      <c r="C104" s="8" t="n"/>
      <c r="D104" s="8" t="n"/>
      <c r="E104" s="9" t="n"/>
      <c r="F104" s="9">
        <f>IF(OR($E104="",$D104=""),"",IF($D104="Mensuel",$E104,IF($D104="Annuel",$E104/12,"")))</f>
        <v/>
      </c>
      <c r="G104" s="10">
        <f>IF($E104="","",$E104*'Paramètres'!$B$3)</f>
        <v/>
      </c>
      <c r="H104" s="8" t="n"/>
      <c r="I104" s="8" t="n"/>
      <c r="J104" s="11" t="n"/>
      <c r="K104" s="11" t="n"/>
      <c r="L104" s="8" t="n"/>
      <c r="M104" s="8" t="n"/>
    </row>
    <row r="105">
      <c r="A105" s="4" t="n"/>
      <c r="B105" s="4" t="n"/>
      <c r="C105" s="4" t="n"/>
      <c r="D105" s="4" t="n"/>
      <c r="E105" s="5" t="n"/>
      <c r="F105" s="5">
        <f>IF(OR($E105="",$D105=""),"",IF($D105="Mensuel",$E105,IF($D105="Annuel",$E105/12,"")))</f>
        <v/>
      </c>
      <c r="G105" s="6">
        <f>IF($E105="","",$E105*'Paramètres'!$B$3)</f>
        <v/>
      </c>
      <c r="H105" s="4" t="n"/>
      <c r="I105" s="4" t="n"/>
      <c r="J105" s="7" t="n"/>
      <c r="K105" s="7" t="n"/>
      <c r="L105" s="4" t="n"/>
      <c r="M105" s="4" t="n"/>
    </row>
    <row r="106">
      <c r="A106" s="8" t="n"/>
      <c r="B106" s="8" t="n"/>
      <c r="C106" s="8" t="n"/>
      <c r="D106" s="8" t="n"/>
      <c r="E106" s="9" t="n"/>
      <c r="F106" s="9">
        <f>IF(OR($E106="",$D106=""),"",IF($D106="Mensuel",$E106,IF($D106="Annuel",$E106/12,"")))</f>
        <v/>
      </c>
      <c r="G106" s="10">
        <f>IF($E106="","",$E106*'Paramètres'!$B$3)</f>
        <v/>
      </c>
      <c r="H106" s="8" t="n"/>
      <c r="I106" s="8" t="n"/>
      <c r="J106" s="11" t="n"/>
      <c r="K106" s="11" t="n"/>
      <c r="L106" s="8" t="n"/>
      <c r="M106" s="8" t="n"/>
    </row>
    <row r="107">
      <c r="A107" s="4" t="n"/>
      <c r="B107" s="4" t="n"/>
      <c r="C107" s="4" t="n"/>
      <c r="D107" s="4" t="n"/>
      <c r="E107" s="5" t="n"/>
      <c r="F107" s="5">
        <f>IF(OR($E107="",$D107=""),"",IF($D107="Mensuel",$E107,IF($D107="Annuel",$E107/12,"")))</f>
        <v/>
      </c>
      <c r="G107" s="6">
        <f>IF($E107="","",$E107*'Paramètres'!$B$3)</f>
        <v/>
      </c>
      <c r="H107" s="4" t="n"/>
      <c r="I107" s="4" t="n"/>
      <c r="J107" s="7" t="n"/>
      <c r="K107" s="7" t="n"/>
      <c r="L107" s="4" t="n"/>
      <c r="M107" s="4" t="n"/>
    </row>
    <row r="108">
      <c r="A108" s="8" t="n"/>
      <c r="B108" s="8" t="n"/>
      <c r="C108" s="8" t="n"/>
      <c r="D108" s="8" t="n"/>
      <c r="E108" s="9" t="n"/>
      <c r="F108" s="9">
        <f>IF(OR($E108="",$D108=""),"",IF($D108="Mensuel",$E108,IF($D108="Annuel",$E108/12,"")))</f>
        <v/>
      </c>
      <c r="G108" s="10">
        <f>IF($E108="","",$E108*'Paramètres'!$B$3)</f>
        <v/>
      </c>
      <c r="H108" s="8" t="n"/>
      <c r="I108" s="8" t="n"/>
      <c r="J108" s="11" t="n"/>
      <c r="K108" s="11" t="n"/>
      <c r="L108" s="8" t="n"/>
      <c r="M108" s="8" t="n"/>
    </row>
    <row r="109">
      <c r="A109" s="4" t="n"/>
      <c r="B109" s="4" t="n"/>
      <c r="C109" s="4" t="n"/>
      <c r="D109" s="4" t="n"/>
      <c r="E109" s="5" t="n"/>
      <c r="F109" s="5">
        <f>IF(OR($E109="",$D109=""),"",IF($D109="Mensuel",$E109,IF($D109="Annuel",$E109/12,"")))</f>
        <v/>
      </c>
      <c r="G109" s="6">
        <f>IF($E109="","",$E109*'Paramètres'!$B$3)</f>
        <v/>
      </c>
      <c r="H109" s="4" t="n"/>
      <c r="I109" s="4" t="n"/>
      <c r="J109" s="7" t="n"/>
      <c r="K109" s="7" t="n"/>
      <c r="L109" s="4" t="n"/>
      <c r="M109" s="4" t="n"/>
    </row>
    <row r="110">
      <c r="A110" s="8" t="n"/>
      <c r="B110" s="8" t="n"/>
      <c r="C110" s="8" t="n"/>
      <c r="D110" s="8" t="n"/>
      <c r="E110" s="9" t="n"/>
      <c r="F110" s="9">
        <f>IF(OR($E110="",$D110=""),"",IF($D110="Mensuel",$E110,IF($D110="Annuel",$E110/12,"")))</f>
        <v/>
      </c>
      <c r="G110" s="10">
        <f>IF($E110="","",$E110*'Paramètres'!$B$3)</f>
        <v/>
      </c>
      <c r="H110" s="8" t="n"/>
      <c r="I110" s="8" t="n"/>
      <c r="J110" s="11" t="n"/>
      <c r="K110" s="11" t="n"/>
      <c r="L110" s="8" t="n"/>
      <c r="M110" s="8" t="n"/>
    </row>
    <row r="111">
      <c r="A111" s="4" t="n"/>
      <c r="B111" s="4" t="n"/>
      <c r="C111" s="4" t="n"/>
      <c r="D111" s="4" t="n"/>
      <c r="E111" s="5" t="n"/>
      <c r="F111" s="5">
        <f>IF(OR($E111="",$D111=""),"",IF($D111="Mensuel",$E111,IF($D111="Annuel",$E111/12,"")))</f>
        <v/>
      </c>
      <c r="G111" s="6">
        <f>IF($E111="","",$E111*'Paramètres'!$B$3)</f>
        <v/>
      </c>
      <c r="H111" s="4" t="n"/>
      <c r="I111" s="4" t="n"/>
      <c r="J111" s="7" t="n"/>
      <c r="K111" s="7" t="n"/>
      <c r="L111" s="4" t="n"/>
      <c r="M111" s="4" t="n"/>
    </row>
    <row r="112">
      <c r="A112" s="8" t="n"/>
      <c r="B112" s="8" t="n"/>
      <c r="C112" s="8" t="n"/>
      <c r="D112" s="8" t="n"/>
      <c r="E112" s="9" t="n"/>
      <c r="F112" s="9">
        <f>IF(OR($E112="",$D112=""),"",IF($D112="Mensuel",$E112,IF($D112="Annuel",$E112/12,"")))</f>
        <v/>
      </c>
      <c r="G112" s="10">
        <f>IF($E112="","",$E112*'Paramètres'!$B$3)</f>
        <v/>
      </c>
      <c r="H112" s="8" t="n"/>
      <c r="I112" s="8" t="n"/>
      <c r="J112" s="11" t="n"/>
      <c r="K112" s="11" t="n"/>
      <c r="L112" s="8" t="n"/>
      <c r="M112" s="8" t="n"/>
    </row>
    <row r="113">
      <c r="A113" s="4" t="n"/>
      <c r="B113" s="4" t="n"/>
      <c r="C113" s="4" t="n"/>
      <c r="D113" s="4" t="n"/>
      <c r="E113" s="5" t="n"/>
      <c r="F113" s="5">
        <f>IF(OR($E113="",$D113=""),"",IF($D113="Mensuel",$E113,IF($D113="Annuel",$E113/12,"")))</f>
        <v/>
      </c>
      <c r="G113" s="6">
        <f>IF($E113="","",$E113*'Paramètres'!$B$3)</f>
        <v/>
      </c>
      <c r="H113" s="4" t="n"/>
      <c r="I113" s="4" t="n"/>
      <c r="J113" s="7" t="n"/>
      <c r="K113" s="7" t="n"/>
      <c r="L113" s="4" t="n"/>
      <c r="M113" s="4" t="n"/>
    </row>
    <row r="114">
      <c r="A114" s="8" t="n"/>
      <c r="B114" s="8" t="n"/>
      <c r="C114" s="8" t="n"/>
      <c r="D114" s="8" t="n"/>
      <c r="E114" s="9" t="n"/>
      <c r="F114" s="9">
        <f>IF(OR($E114="",$D114=""),"",IF($D114="Mensuel",$E114,IF($D114="Annuel",$E114/12,"")))</f>
        <v/>
      </c>
      <c r="G114" s="10">
        <f>IF($E114="","",$E114*'Paramètres'!$B$3)</f>
        <v/>
      </c>
      <c r="H114" s="8" t="n"/>
      <c r="I114" s="8" t="n"/>
      <c r="J114" s="11" t="n"/>
      <c r="K114" s="11" t="n"/>
      <c r="L114" s="8" t="n"/>
      <c r="M114" s="8" t="n"/>
    </row>
    <row r="115">
      <c r="A115" s="4" t="n"/>
      <c r="B115" s="4" t="n"/>
      <c r="C115" s="4" t="n"/>
      <c r="D115" s="4" t="n"/>
      <c r="E115" s="5" t="n"/>
      <c r="F115" s="5">
        <f>IF(OR($E115="",$D115=""),"",IF($D115="Mensuel",$E115,IF($D115="Annuel",$E115/12,"")))</f>
        <v/>
      </c>
      <c r="G115" s="6">
        <f>IF($E115="","",$E115*'Paramètres'!$B$3)</f>
        <v/>
      </c>
      <c r="H115" s="4" t="n"/>
      <c r="I115" s="4" t="n"/>
      <c r="J115" s="7" t="n"/>
      <c r="K115" s="7" t="n"/>
      <c r="L115" s="4" t="n"/>
      <c r="M115" s="4" t="n"/>
    </row>
    <row r="116">
      <c r="A116" s="8" t="n"/>
      <c r="B116" s="8" t="n"/>
      <c r="C116" s="8" t="n"/>
      <c r="D116" s="8" t="n"/>
      <c r="E116" s="9" t="n"/>
      <c r="F116" s="9">
        <f>IF(OR($E116="",$D116=""),"",IF($D116="Mensuel",$E116,IF($D116="Annuel",$E116/12,"")))</f>
        <v/>
      </c>
      <c r="G116" s="10">
        <f>IF($E116="","",$E116*'Paramètres'!$B$3)</f>
        <v/>
      </c>
      <c r="H116" s="8" t="n"/>
      <c r="I116" s="8" t="n"/>
      <c r="J116" s="11" t="n"/>
      <c r="K116" s="11" t="n"/>
      <c r="L116" s="8" t="n"/>
      <c r="M116" s="8" t="n"/>
    </row>
    <row r="117">
      <c r="A117" s="4" t="n"/>
      <c r="B117" s="4" t="n"/>
      <c r="C117" s="4" t="n"/>
      <c r="D117" s="4" t="n"/>
      <c r="E117" s="5" t="n"/>
      <c r="F117" s="5">
        <f>IF(OR($E117="",$D117=""),"",IF($D117="Mensuel",$E117,IF($D117="Annuel",$E117/12,"")))</f>
        <v/>
      </c>
      <c r="G117" s="6">
        <f>IF($E117="","",$E117*'Paramètres'!$B$3)</f>
        <v/>
      </c>
      <c r="H117" s="4" t="n"/>
      <c r="I117" s="4" t="n"/>
      <c r="J117" s="7" t="n"/>
      <c r="K117" s="7" t="n"/>
      <c r="L117" s="4" t="n"/>
      <c r="M117" s="4" t="n"/>
    </row>
    <row r="118">
      <c r="A118" s="8" t="n"/>
      <c r="B118" s="8" t="n"/>
      <c r="C118" s="8" t="n"/>
      <c r="D118" s="8" t="n"/>
      <c r="E118" s="9" t="n"/>
      <c r="F118" s="9">
        <f>IF(OR($E118="",$D118=""),"",IF($D118="Mensuel",$E118,IF($D118="Annuel",$E118/12,"")))</f>
        <v/>
      </c>
      <c r="G118" s="10">
        <f>IF($E118="","",$E118*'Paramètres'!$B$3)</f>
        <v/>
      </c>
      <c r="H118" s="8" t="n"/>
      <c r="I118" s="8" t="n"/>
      <c r="J118" s="11" t="n"/>
      <c r="K118" s="11" t="n"/>
      <c r="L118" s="8" t="n"/>
      <c r="M118" s="8" t="n"/>
    </row>
    <row r="119">
      <c r="A119" s="4" t="n"/>
      <c r="B119" s="4" t="n"/>
      <c r="C119" s="4" t="n"/>
      <c r="D119" s="4" t="n"/>
      <c r="E119" s="5" t="n"/>
      <c r="F119" s="5">
        <f>IF(OR($E119="",$D119=""),"",IF($D119="Mensuel",$E119,IF($D119="Annuel",$E119/12,"")))</f>
        <v/>
      </c>
      <c r="G119" s="6">
        <f>IF($E119="","",$E119*'Paramètres'!$B$3)</f>
        <v/>
      </c>
      <c r="H119" s="4" t="n"/>
      <c r="I119" s="4" t="n"/>
      <c r="J119" s="7" t="n"/>
      <c r="K119" s="7" t="n"/>
      <c r="L119" s="4" t="n"/>
      <c r="M119" s="4" t="n"/>
    </row>
    <row r="120">
      <c r="A120" s="8" t="n"/>
      <c r="B120" s="8" t="n"/>
      <c r="C120" s="8" t="n"/>
      <c r="D120" s="8" t="n"/>
      <c r="E120" s="9" t="n"/>
      <c r="F120" s="9">
        <f>IF(OR($E120="",$D120=""),"",IF($D120="Mensuel",$E120,IF($D120="Annuel",$E120/12,"")))</f>
        <v/>
      </c>
      <c r="G120" s="10">
        <f>IF($E120="","",$E120*'Paramètres'!$B$3)</f>
        <v/>
      </c>
      <c r="H120" s="8" t="n"/>
      <c r="I120" s="8" t="n"/>
      <c r="J120" s="11" t="n"/>
      <c r="K120" s="11" t="n"/>
      <c r="L120" s="8" t="n"/>
      <c r="M120" s="8" t="n"/>
    </row>
    <row r="121">
      <c r="A121" s="4" t="n"/>
      <c r="B121" s="4" t="n"/>
      <c r="C121" s="4" t="n"/>
      <c r="D121" s="4" t="n"/>
      <c r="E121" s="5" t="n"/>
      <c r="F121" s="5">
        <f>IF(OR($E121="",$D121=""),"",IF($D121="Mensuel",$E121,IF($D121="Annuel",$E121/12,"")))</f>
        <v/>
      </c>
      <c r="G121" s="6">
        <f>IF($E121="","",$E121*'Paramètres'!$B$3)</f>
        <v/>
      </c>
      <c r="H121" s="4" t="n"/>
      <c r="I121" s="4" t="n"/>
      <c r="J121" s="7" t="n"/>
      <c r="K121" s="7" t="n"/>
      <c r="L121" s="4" t="n"/>
      <c r="M121" s="4" t="n"/>
    </row>
    <row r="122">
      <c r="A122" s="8" t="n"/>
      <c r="B122" s="8" t="n"/>
      <c r="C122" s="8" t="n"/>
      <c r="D122" s="8" t="n"/>
      <c r="E122" s="9" t="n"/>
      <c r="F122" s="9">
        <f>IF(OR($E122="",$D122=""),"",IF($D122="Mensuel",$E122,IF($D122="Annuel",$E122/12,"")))</f>
        <v/>
      </c>
      <c r="G122" s="10">
        <f>IF($E122="","",$E122*'Paramètres'!$B$3)</f>
        <v/>
      </c>
      <c r="H122" s="8" t="n"/>
      <c r="I122" s="8" t="n"/>
      <c r="J122" s="11" t="n"/>
      <c r="K122" s="11" t="n"/>
      <c r="L122" s="8" t="n"/>
      <c r="M122" s="8" t="n"/>
    </row>
    <row r="123">
      <c r="A123" s="4" t="n"/>
      <c r="B123" s="4" t="n"/>
      <c r="C123" s="4" t="n"/>
      <c r="D123" s="4" t="n"/>
      <c r="E123" s="5" t="n"/>
      <c r="F123" s="5">
        <f>IF(OR($E123="",$D123=""),"",IF($D123="Mensuel",$E123,IF($D123="Annuel",$E123/12,"")))</f>
        <v/>
      </c>
      <c r="G123" s="6">
        <f>IF($E123="","",$E123*'Paramètres'!$B$3)</f>
        <v/>
      </c>
      <c r="H123" s="4" t="n"/>
      <c r="I123" s="4" t="n"/>
      <c r="J123" s="7" t="n"/>
      <c r="K123" s="7" t="n"/>
      <c r="L123" s="4" t="n"/>
      <c r="M123" s="4" t="n"/>
    </row>
    <row r="124">
      <c r="A124" s="8" t="n"/>
      <c r="B124" s="8" t="n"/>
      <c r="C124" s="8" t="n"/>
      <c r="D124" s="8" t="n"/>
      <c r="E124" s="9" t="n"/>
      <c r="F124" s="9">
        <f>IF(OR($E124="",$D124=""),"",IF($D124="Mensuel",$E124,IF($D124="Annuel",$E124/12,"")))</f>
        <v/>
      </c>
      <c r="G124" s="10">
        <f>IF($E124="","",$E124*'Paramètres'!$B$3)</f>
        <v/>
      </c>
      <c r="H124" s="8" t="n"/>
      <c r="I124" s="8" t="n"/>
      <c r="J124" s="11" t="n"/>
      <c r="K124" s="11" t="n"/>
      <c r="L124" s="8" t="n"/>
      <c r="M124" s="8" t="n"/>
    </row>
  </sheetData>
  <autoFilter ref="A4:M124"/>
  <conditionalFormatting sqref="I5:I124">
    <cfRule type="cellIs" priority="1" operator="equal" dxfId="0">
      <formula>"Payé"</formula>
    </cfRule>
    <cfRule type="cellIs" priority="2" operator="equal" dxfId="1">
      <formula>"À payer"</formula>
    </cfRule>
  </conditionalFormatting>
  <dataValidations count="4">
    <dataValidation sqref="B5:B124" showDropDown="0" showInputMessage="0" showErrorMessage="1" allowBlank="1" type="list">
      <formula1>=Paramètres!$A$7:$A$14</formula1>
    </dataValidation>
    <dataValidation sqref="D5:D124" showDropDown="0" showInputMessage="0" showErrorMessage="1" allowBlank="1" type="list">
      <formula1>=Paramètres!$B$7:$B$9</formula1>
    </dataValidation>
    <dataValidation sqref="I5:I124" showDropDown="0" showInputMessage="0" showErrorMessage="1" allowBlank="1" type="list">
      <formula1>=Paramètres!$C$7:$C$8</formula1>
    </dataValidation>
    <dataValidation sqref="L5:L124" showDropDown="0" showInputMessage="0" showErrorMessage="1" allowBlank="1" type="list">
      <formula1>=Paramètres!$D$7:$D$11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</cols>
  <sheetData>
    <row r="1">
      <c r="A1" s="1" t="inlineStr">
        <is>
          <t>Récapitulatif</t>
        </is>
      </c>
    </row>
    <row r="2">
      <c r="A2" s="2" t="inlineStr">
        <is>
          <t>Se met à jour automatiquement depuis la feuille Dépenses.</t>
        </is>
      </c>
    </row>
    <row r="4">
      <c r="A4" s="12" t="inlineStr">
        <is>
          <t>Total récurrent mensuel (€)</t>
        </is>
      </c>
      <c r="B4" s="13">
        <f>SUM(Dépenses!$F$5:$F$124)</f>
        <v/>
      </c>
    </row>
    <row r="5">
      <c r="A5" s="12" t="inlineStr">
        <is>
          <t>Total récurrent mensuel (Ar)</t>
        </is>
      </c>
      <c r="B5" s="14">
        <f>SUM(Dépenses!$F$5:$F$124)*'Paramètres'!$B$3</f>
        <v/>
      </c>
    </row>
    <row r="6">
      <c r="A6" s="12" t="inlineStr">
        <is>
          <t>Total annuel projeté (€)</t>
        </is>
      </c>
      <c r="B6" s="13">
        <f>SUM(Dépenses!$F$5:$F$124)*12</f>
        <v/>
      </c>
    </row>
    <row r="8">
      <c r="A8" s="12" t="inlineStr">
        <is>
          <t>Total « À payer » (€)</t>
        </is>
      </c>
      <c r="B8" s="15">
        <f>SUMIF(Dépenses!$I$5:$I$124,"À payer",Dépenses!$E$5:$E$124)</f>
        <v/>
      </c>
    </row>
    <row r="9">
      <c r="A9" s="12" t="inlineStr">
        <is>
          <t>Total « Payé » (€)</t>
        </is>
      </c>
      <c r="B9" s="16">
        <f>SUMIF(Dépenses!$I$5:$I$124,"Payé",Dépenses!$E$5:$E$124)</f>
        <v/>
      </c>
    </row>
    <row r="11">
      <c r="A11" s="12" t="inlineStr">
        <is>
          <t>Dépenses ponctuelles (€)</t>
        </is>
      </c>
      <c r="B11" s="13">
        <f>SUMIF(Dépenses!$D$5:$D$124,"Ponctuel",Dépenses!$E$5:$E$124)</f>
        <v/>
      </c>
    </row>
    <row r="13">
      <c r="A13" s="17" t="inlineStr">
        <is>
          <t>Récurrent mensuel par catégorie</t>
        </is>
      </c>
      <c r="B13" s="17" t="inlineStr">
        <is>
          <t>€ / mois</t>
        </is>
      </c>
    </row>
    <row r="14">
      <c r="A14" t="inlineStr">
        <is>
          <t>SaaS &amp; outils</t>
        </is>
      </c>
      <c r="B14" s="18">
        <f>SUMIF(Dépenses!$B$5:$B$124,$A14,Dépenses!$F$5:$F$124)</f>
        <v/>
      </c>
    </row>
    <row r="15">
      <c r="A15" t="inlineStr">
        <is>
          <t>Salaires freelances</t>
        </is>
      </c>
      <c r="B15" s="18">
        <f>SUMIF(Dépenses!$B$5:$B$124,$A15,Dépenses!$F$5:$F$124)</f>
        <v/>
      </c>
    </row>
    <row r="16">
      <c r="A16" t="inlineStr">
        <is>
          <t>Téléphonie</t>
        </is>
      </c>
      <c r="B16" s="18">
        <f>SUMIF(Dépenses!$B$5:$B$124,$A16,Dépenses!$F$5:$F$124)</f>
        <v/>
      </c>
    </row>
    <row r="17">
      <c r="A17" t="inlineStr">
        <is>
          <t>Domaines &amp; hébergement</t>
        </is>
      </c>
      <c r="B17" s="18">
        <f>SUMIF(Dépenses!$B$5:$B$124,$A17,Dépenses!$F$5:$F$124)</f>
        <v/>
      </c>
    </row>
    <row r="18">
      <c r="A18" t="inlineStr">
        <is>
          <t>Administratif &amp; légal</t>
        </is>
      </c>
      <c r="B18" s="18">
        <f>SUMIF(Dépenses!$B$5:$B$124,$A18,Dépenses!$F$5:$F$124)</f>
        <v/>
      </c>
    </row>
    <row r="19">
      <c r="A19" t="inlineStr">
        <is>
          <t>Banque &amp; frais</t>
        </is>
      </c>
      <c r="B19" s="18">
        <f>SUMIF(Dépenses!$B$5:$B$124,$A19,Dépenses!$F$5:$F$124)</f>
        <v/>
      </c>
    </row>
    <row r="20">
      <c r="A20" t="inlineStr">
        <is>
          <t>Marketing</t>
        </is>
      </c>
      <c r="B20" s="18">
        <f>SUMIF(Dépenses!$B$5:$B$124,$A20,Dépenses!$F$5:$F$124)</f>
        <v/>
      </c>
    </row>
    <row r="21">
      <c r="A21" t="inlineStr">
        <is>
          <t>Autre</t>
        </is>
      </c>
      <c r="B21" s="18">
        <f>SUMIF(Dépenses!$B$5:$B$124,$A21,Dépenses!$F$5:$F$124)</f>
        <v/>
      </c>
    </row>
    <row r="22">
      <c r="A22" s="12" t="inlineStr">
        <is>
          <t>Total</t>
        </is>
      </c>
      <c r="B22" s="19">
        <f>SUM(B14:B21)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2" customWidth="1" min="3" max="3"/>
    <col width="20" customWidth="1" min="4" max="4"/>
  </cols>
  <sheetData>
    <row r="1">
      <c r="A1" s="1" t="inlineStr">
        <is>
          <t>Paramètres</t>
        </is>
      </c>
    </row>
    <row r="3">
      <c r="A3" s="12" t="inlineStr">
        <is>
          <t>Taux EUR → MGA (Ar / €)</t>
        </is>
      </c>
      <c r="B3" s="20" t="n">
        <v>5000</v>
      </c>
    </row>
    <row r="4">
      <c r="A4" s="2" t="inlineStr">
        <is>
          <t>Modifier ce taux met à jour la colonne « Équivalent (Ar) » de la feuille Dépenses.</t>
        </is>
      </c>
    </row>
    <row r="6">
      <c r="A6" s="17" t="inlineStr">
        <is>
          <t>Catégories</t>
        </is>
      </c>
      <c r="B6" s="17" t="inlineStr">
        <is>
          <t>Périodicités</t>
        </is>
      </c>
      <c r="C6" s="17" t="inlineStr">
        <is>
          <t>Statuts</t>
        </is>
      </c>
      <c r="D6" s="17" t="inlineStr">
        <is>
          <t>Moyens de paiement</t>
        </is>
      </c>
    </row>
    <row r="7">
      <c r="A7" t="inlineStr">
        <is>
          <t>SaaS &amp; outils</t>
        </is>
      </c>
      <c r="B7" t="inlineStr">
        <is>
          <t>Mensuel</t>
        </is>
      </c>
      <c r="C7" t="inlineStr">
        <is>
          <t>Payé</t>
        </is>
      </c>
      <c r="D7" t="inlineStr">
        <is>
          <t>Wise</t>
        </is>
      </c>
    </row>
    <row r="8">
      <c r="A8" t="inlineStr">
        <is>
          <t>Salaires freelances</t>
        </is>
      </c>
      <c r="B8" t="inlineStr">
        <is>
          <t>Annuel</t>
        </is>
      </c>
      <c r="C8" t="inlineStr">
        <is>
          <t>À payer</t>
        </is>
      </c>
      <c r="D8" t="inlineStr">
        <is>
          <t>CB</t>
        </is>
      </c>
    </row>
    <row r="9">
      <c r="A9" t="inlineStr">
        <is>
          <t>Téléphonie</t>
        </is>
      </c>
      <c r="B9" t="inlineStr">
        <is>
          <t>Ponctuel</t>
        </is>
      </c>
      <c r="D9" t="inlineStr">
        <is>
          <t>Virement</t>
        </is>
      </c>
    </row>
    <row r="10">
      <c r="A10" t="inlineStr">
        <is>
          <t>Domaines &amp; hébergement</t>
        </is>
      </c>
      <c r="D10" t="inlineStr">
        <is>
          <t>Mobile money</t>
        </is>
      </c>
    </row>
    <row r="11">
      <c r="A11" t="inlineStr">
        <is>
          <t>Administratif &amp; légal</t>
        </is>
      </c>
      <c r="D11" t="inlineStr">
        <is>
          <t>Autre</t>
        </is>
      </c>
    </row>
    <row r="12">
      <c r="A12" t="inlineStr">
        <is>
          <t>Banque &amp; frais</t>
        </is>
      </c>
    </row>
    <row r="13">
      <c r="A13" t="inlineStr">
        <is>
          <t>Marketing</t>
        </is>
      </c>
    </row>
    <row r="14">
      <c r="A14" t="inlineStr">
        <is>
          <t>Autre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2026-07-13T10:15:15Z</dcterms:created>
  <dcterms:modified xsi:type="dcterms:W3CDTF">2026-07-13T10:15:15Z</dcterms:modified>
</cp:coreProperties>
</file>